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ción piloto" sheetId="1" state="visible" r:id="rId3"/>
    <sheet name="Instrucciones" sheetId="2" state="visible" r:id="rId4"/>
    <sheet name="Resumen" sheetId="3" state="visible" r:id="rId5"/>
  </sheets>
  <definedNames>
    <definedName function="false" hidden="true" localSheetId="0" name="_xlnm._FilterDatabase" vbProcedure="false">'Evaluación piloto'!$A$1:$AC$31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<sst xmlns="http://schemas.openxmlformats.org/spreadsheetml/2006/main" count="519" uniqueCount="155">
  <si>
    <t xml:space="preserve">ID</t>
  </si>
  <si>
    <t xml:space="preserve">Dimension</t>
  </si>
  <si>
    <t xml:space="preserve">Topic</t>
  </si>
  <si>
    <t xml:space="preserve">Difficulty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</si>
  <si>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</si>
  <si>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</si>
  <si>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</si>
  <si>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</si>
  <si>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</si>
  <si>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</si>
  <si>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</si>
  <si>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</si>
  <si>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</si>
  <si>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</si>
  <si>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</si>
  <si>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</si>
  <si>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</si>
  <si>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</si>
  <si>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</si>
  <si>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</si>
  <si>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</si>
  <si>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 Total</t>
  </si>
  <si>
    <t xml:space="preserve">Q Máx.</t>
  </si>
  <si>
    <t xml:space="preserve">Score %</t>
  </si>
  <si>
    <t xml:space="preserve">Decisión sugerida</t>
  </si>
  <si>
    <t xml:space="preserve">Decisión final</t>
  </si>
  <si>
    <t xml:space="preserve">Notas</t>
  </si>
  <si>
    <t xml:space="preserve">Reviewer</t>
  </si>
  <si>
    <t xml:space="preserve">Fecha</t>
  </si>
  <si>
    <t xml:space="preserve">PSY-001</t>
  </si>
  <si>
    <t xml:space="preserve">knowledge</t>
  </si>
  <si>
    <t xml:space="preserve">memoria y sugestibilidad</t>
  </si>
  <si>
    <t xml:space="preserve">easy</t>
  </si>
  <si>
    <t xml:space="preserve">ACCEPT</t>
  </si>
  <si>
    <t xml:space="preserve">Todos los gates cumplen. Q3=1: definir el efecto de desinformación es en buena parte recuperación, aunque exigir mecanismo + ejemplo añade algo de discriminación. Q8=1: Loftus &amp; Palmer (1974) es el estudio de preguntas sugerentes; fuente algo antigua. (Loftus et al., 1978, o Loftus, 2005 serían más directas).</t>
  </si>
  <si>
    <t xml:space="preserve">De acuerdo con la revisión del modelo Opus 5</t>
  </si>
  <si>
    <t xml:space="preserve">PSY-002</t>
  </si>
  <si>
    <t xml:space="preserve">memoria de trabajo</t>
  </si>
  <si>
    <t xml:space="preserve">medium</t>
  </si>
  <si>
    <t xml:space="preserve">Gates OK. Q3=1: la distinción control atencional / almacenamiento es recuperable para casi cualquier LLM actual. Q8=1: Baddeley (2000) versa sobre el buffer episódico; sostiene el modelo pero no es la fuente más directa para el ejecutivo central (Baddeley &amp; Hitch, 1974). Los criterios no contemplan el buffer episódico como cuarto componente.</t>
  </si>
  <si>
    <t xml:space="preserve">PSY-003</t>
  </si>
  <si>
    <t xml:space="preserve">efecto de espaciamiento</t>
  </si>
  <si>
    <t xml:space="preserve">Gates OK. Q3=1: recuperación conceptual con matiz de condicionalidad. Q7=1: redundancia temática con PSY-008, que usa el mismo fenómeno (espaciamiento); se sostienen ambos porque la demanda cognitiva difiere (definir vs predecir). Q8=2: Cepeda et al. (2006) respalda directamente.</t>
  </si>
  <si>
    <t xml:space="preserve">PSY-004</t>
  </si>
  <si>
    <t xml:space="preserve">efecto Stroop</t>
  </si>
  <si>
    <t xml:space="preserve">REVISE</t>
  </si>
  <si>
    <t xml:space="preserve">Gates OK. Q3=0: definir el efecto Stroop y el conflicto tinta/palabra es trivial para cualquier LLM moderno competente. RUBRIC_ISSUE: la sección 6 de la rúbrica prohíbe ACCEPT con Q3=0, pero la fórmula de 'Decisión sugerida' no implementa esa regla y devuelve ACCEPT con 16 puntos. Requiere decisión manual del revisor.</t>
  </si>
  <si>
    <t xml:space="preserve">PSY-005</t>
  </si>
  <si>
    <t xml:space="preserve">personalidad / Cinco Grandes</t>
  </si>
  <si>
    <t xml:space="preserve">Gates OK. Q3=1: enumerar los Cinco Grandes es recuperación; el matiz dimensiones ≠ categorías diagnósticas aporta algo. Q6=1: la tarea es recuerdo más definición breve, más próxima a 'easy' que a 'medium'. Q8=2 (John, Naumann &amp; Soto, 2008).</t>
  </si>
  <si>
    <t xml:space="preserve">PSY-006</t>
  </si>
  <si>
    <t xml:space="preserve">teoría de la autodeterminación</t>
  </si>
  <si>
    <t xml:space="preserve">Gates OK. Q3=1 y Q6=1 por el mismo motivo que PSY-005: enumerar y definir tres necesidades es recuperación etiquetada como 'medium'. Q7=1: la teoría de la autodeterminación aparece en cuatro ítems (PSY-006, PSY-010, PSY-017, PSY-029); es el marco más sobrerrepresentado del piloto, en tensión con el equilibrio exigido en la sección 11.</t>
  </si>
  <si>
    <t xml:space="preserve">PSY-007</t>
  </si>
  <si>
    <t xml:space="preserve">reasoning</t>
  </si>
  <si>
    <t xml:space="preserve">refuerzo y castigo</t>
  </si>
  <si>
    <t xml:space="preserve">NA</t>
  </si>
  <si>
    <t xml:space="preserve">Gates OK. Q7=1: comparte escenario de aula y estructura (caso → identificar proceso → justificar) con PSY-010. Q8=NA: el ítem declara que no requiere fuente externa. RUBRIC_ISSUE (umbral/NA): con Q8=NA el máximo baja a 16, pero los umbrales siguen fijos en 16/14, así que un ítem sin fuente necesita 16/16 perfecto para ACCEPT. Aquí 15/16 (94 %) sale REVISE por artefacto de cálculo, no por calidad.</t>
  </si>
  <si>
    <t xml:space="preserve">PSY-008</t>
  </si>
  <si>
    <t xml:space="preserve">memoria / espaciado</t>
  </si>
  <si>
    <t xml:space="preserve">Gates OK. Q3=1: la predicción del efecto de espaciamiento es muy estándar y la resuelven también modelos débiles. Q7=1: mismo fenómeno que PSY-003 (ver nota de ese ítem). Q8=2: Cepeda et al. (2006).</t>
  </si>
  <si>
    <t xml:space="preserve">PSY-009</t>
  </si>
  <si>
    <t xml:space="preserve">correlación y causalidad</t>
  </si>
  <si>
    <t xml:space="preserve">G3=REVISE: declarado 'reasoning', pero la tarea ('qué puede y qué no puede inferirse') responde a la estructura de uncertainty (sección 7.4) y a crítica metodológica (7.3); la frontera entre dimensiones no está operativizada en la rúbrica. Q6=1: el JSON lo marca 'hard' y la plantilla 'medium' (discrepancia de metadatos); la demanda real es media. Q7=1 frente a PSY-020 y PSY-026. Q8=NA → RUBRIC_ISSUE (umbral/NA, ver PSY-007).</t>
  </si>
  <si>
    <t xml:space="preserve">PSY-010</t>
  </si>
  <si>
    <t xml:space="preserve">autodeterminación / necesidades psicológicas</t>
  </si>
  <si>
    <t xml:space="preserve">Gates OK. Q3=1: identificar autonomía ante una situación de elección es directo. Q7=1: escenario docente prácticamente calcado del de PSY-007 (elegir tema de trabajo) y saturación de la teoría de la autodeterminación (PSY-006, PSY-017, PSY-029). Q8=2.</t>
  </si>
  <si>
    <t xml:space="preserve">PSY-011</t>
  </si>
  <si>
    <t xml:space="preserve">apego y causalidad</t>
  </si>
  <si>
    <t xml:space="preserve">hard</t>
  </si>
  <si>
    <t xml:space="preserve">Gates OK. Q3=2: exige distinguir precedencia temporal necesaria vs suficiente e introducir bidireccionalidad o confusión. Q7=1: comparte núcleo de atribución causal con PSY-024. Q8=1: cita verificada (Developmental Psychology, 60(11), 2144-2156; DOI correcto), pero el estudio analiza temperamento → configuraciones de apego, no apego → resultados socioemocionales; respalda el argumento solo de forma indirecta.</t>
  </si>
  <si>
    <t xml:space="preserve">PSY-012</t>
  </si>
  <si>
    <t xml:space="preserve">doble disociación / neuropsicología</t>
  </si>
  <si>
    <t xml:space="preserve">Gates OK; 18/18. Ítem de referencia del piloto: exige la lógica de la doble disociación más una precaución metodológica explícita, y la fuente (Shallice, 1988) es canónica. Sin solapamiento temático ni cognitivo con el resto del piloto.</t>
  </si>
  <si>
    <t xml:space="preserve">PSY-013</t>
  </si>
  <si>
    <t xml:space="preserve">critical_analysis</t>
  </si>
  <si>
    <t xml:space="preserve">amenaza del estereotipo</t>
  </si>
  <si>
    <t xml:space="preserve">Gates OK; 18/18. Los criterios exigen identificar tres saltos inferenciales concretos, lo que hace la evaluación reproducible. Q8=2: fuente verificada (JAP, 104(12), 1514-1534; DOI 10.1037/apl0000420) y especialmente adecuada, porque concluye efectos de negligibles a pequeños en contextos operativos y detecta sesgo de publicación, justo lo que ignora la afirmación criticada.</t>
  </si>
  <si>
    <t xml:space="preserve">PSY-014</t>
  </si>
  <si>
    <t xml:space="preserve">psicoterapia / evidencia</t>
  </si>
  <si>
    <t xml:space="preserve">Gates OK; 18/18. La crítica al comparador (lista de espera vs tratamientos activos) es específica y evaluable, y no se solapa con PSY-030 (evidencia grupal vs individual) ni con PSY-018 (estudio único). Fuentes Cuijpers pertinentes; no se han podido comprobar de forma independiente sus datos bibliográficos exactos.</t>
  </si>
  <si>
    <t xml:space="preserve">PSY-015</t>
  </si>
  <si>
    <t xml:space="preserve">p-valores</t>
  </si>
  <si>
    <t xml:space="preserve">Gates OK. Q3=1: rechazar la lectura '1-p' está muy saturado en el material de entrenamiento de los LLM; lo discriminativo es la definición condicional completa. Q7=1: comparte tema y fuente (declaración ASA) con PSY-028, aunque la falacia evaluada es distinta (definición vs magnitud/relevancia).</t>
  </si>
  <si>
    <t xml:space="preserve">PSY-016</t>
  </si>
  <si>
    <t xml:space="preserve">estabilidad de la personalidad</t>
  </si>
  <si>
    <t xml:space="preserve">Gates OK; 18/18. Distinguir estabilidad relativa, cambio de nivel medio e inmutabilidad exige integrar varios conceptos, no solo negar la afirmación. Roberts, Walton &amp; Viechtbauer (2006) respalda directamente el cambio normativo. La edad de 18 años funciona como cebo deliberado y está declarada como tal en las notas del ítem.</t>
  </si>
  <si>
    <t xml:space="preserve">PSY-017</t>
  </si>
  <si>
    <t xml:space="preserve">Gates OK. Q3=1: detectar el absolutismo de 'siempre' es fácil para cualquier modelo competente. Q7=1: saturación de la teoría de la autodeterminación (ver PSY-006). Q8=1: Ryan &amp; Deci (2000) sostiene el matiz, pero para recompensas y motivación intrínseca la fuente más fuerte sería Deci, Koestner &amp; Ryan (1999). Discrepancia de metadatos: JSON 'medium', plantilla 'hard'; Q6 puntuado sobre 'medium'.</t>
  </si>
  <si>
    <t xml:space="preserve">PSY-018</t>
  </si>
  <si>
    <t xml:space="preserve">replicación / evidencia científica</t>
  </si>
  <si>
    <t xml:space="preserve">Gates OK. Q3=1: enumerar limitaciones de un estudio único es respuesta estándar. Q7=1: solapa con PSY-022, que aplica la misma lógica de evidencia insuficiente al caso concreto de n=20; conviene decidir cuál conserva ese rol. Q8=NA → RUBRIC_ISSUE (umbral/NA, ver PSY-007).</t>
  </si>
  <si>
    <t xml:space="preserve">PSY-019</t>
  </si>
  <si>
    <t xml:space="preserve">uncertainty</t>
  </si>
  <si>
    <t xml:space="preserve">inferencia clínica bajo incertidumbre</t>
  </si>
  <si>
    <t xml:space="preserve">G6=ACCEPT pese a rozar el límite: el propósito declarado es delimitar qué NO puede concluirse, no diagnosticar, que es justo lo que la sección 4 (G6) permite. Q3=1: los modelos actuales rechazan diagnosticar de forma casi automática. Discrepancia de metadatos: JSON 'hard', plantilla 'medium'; Q6 puntuado sobre 'hard'. Q8=NA → RUBRIC_ISSUE (umbral/NA).</t>
  </si>
  <si>
    <t xml:space="preserve">PSY-020</t>
  </si>
  <si>
    <t xml:space="preserve">sueño y ansiedad / causalidad</t>
  </si>
  <si>
    <t xml:space="preserve">Gates OK, pero Q7=0: es sustancialmente redundante con PSY-009 (misma inferencia: asociación observada → rechazar causalidad + alternativas) y su escenario sueño-ansiedad es exactamente el que PSY-026 usa en su respuesta esperada. Es el patrón que la sección 9 de la rúbrica desaconseja de forma explícita. Recomendación: rediseñar escenario y demanda, o eliminarlo. Q8=NA → RUBRIC_ISSUE (umbral/NA).</t>
  </si>
  <si>
    <t xml:space="preserve">PSY-021</t>
  </si>
  <si>
    <t xml:space="preserve">memoria autobiográfica / confianza</t>
  </si>
  <si>
    <t xml:space="preserve">Gates OK. Q6=1: etiquetado 'hard', pero la demanda es una distinción conceptual (confianza vs exactitud), más propia de 'medium'. Q7=1: mismo contenido que PSY-027, que lo evalúa como comunicación. Q8=1: Koriat (1997) trata juicios de aprendizaje durante el estudio, no memoria autobiográfica; la nota del ítem lo reconoce, pero existen fuentes más directas sobre la relación confianza-exactitud.</t>
  </si>
  <si>
    <t xml:space="preserve">PSY-022</t>
  </si>
  <si>
    <t xml:space="preserve">generalización de una intervención</t>
  </si>
  <si>
    <t xml:space="preserve">Gates OK. Q3=2: separar inferencia intraestudio de generalización poblacional discrimina bien entre modelos. Q7=1: solapa con PSY-018 (ver nota). Q8=NA → RUBRIC_ISSUE (umbral/NA): 15/16 (94 %) sale REVISE por el tope de la fórmula, no por deficiencias del ítem.</t>
  </si>
  <si>
    <t xml:space="preserve">PSY-023</t>
  </si>
  <si>
    <t xml:space="preserve">emoción y conducta observable</t>
  </si>
  <si>
    <t xml:space="preserve">Gates OK. G7=ACCEPT: el contacto visual tiene carga cultural, pero el ítem pide alternativas y no presupone una norma comunicativa concreta. Q3=1: generar explicaciones alternativas de una conducta observable es sencillo para los modelos actuales. Q8=NA → RUBRIC_ISSUE (umbral/NA).</t>
  </si>
  <si>
    <t xml:space="preserve">PSY-024</t>
  </si>
  <si>
    <t xml:space="preserve">eficacia de una intervención / atribución causal</t>
  </si>
  <si>
    <t xml:space="preserve">Gates OK. Q3=1: reconocer cambios concurrentes como fuente de confusión es directo. Q7=1: comparte el núcleo 'precedencia temporal ≠ causalidad' con PSY-011, aunque aquí la fuente de incertidumbre son cambios simultáneos y no el diseño longitudinal. Q8=NA → RUBRIC_ISSUE (umbral/NA).</t>
  </si>
  <si>
    <t xml:space="preserve">Yo puntuaría      Q7=2. Los cambios simultáneos son suficientemente diferentes del diseño longirudinal de la pregunta PSY-011</t>
  </si>
  <si>
    <t xml:space="preserve">PSY-025</t>
  </si>
  <si>
    <t xml:space="preserve">communication</t>
  </si>
  <si>
    <t xml:space="preserve">condicionamiento clásico</t>
  </si>
  <si>
    <t xml:space="preserve">Gates OK. Q4=1: 'evita jerga no explicada' y 'comprensible' dejan un margen de juicio subjetivo relevante; no hay criterios operativos de adaptación a la audiencia. Q3=1: explicar condicionamiento clásico en lenguaje llano es fácil. Discrepancia de metadatos: JSON 'easy', plantilla 'medium'; Q6 puntuado sobre 'easy'. Q8=NA → RUBRIC_ISSUE (umbral/NA).</t>
  </si>
  <si>
    <t xml:space="preserve">PSY-026</t>
  </si>
  <si>
    <t xml:space="preserve">Gates OK. Q7=1: el ejemplo sueño-ansiedad coincide con el escenario de PSY-020 y el principio con PSY-009; se salva porque el constructo evaluado es la adaptación al destinatario, no la inferencia causal. Q3=1: tarea comunicativa muy frecuente. Q8=NA → RUBRIC_ISSUE (umbral/NA).</t>
  </si>
  <si>
    <t xml:space="preserve">Yo puntuaría      Q7=2, pero no por el ejemplo, pues es un ejemplo de explicación</t>
  </si>
  <si>
    <t xml:space="preserve">PSY-027</t>
  </si>
  <si>
    <t xml:space="preserve">confianza y exactitud de la memoria</t>
  </si>
  <si>
    <t xml:space="preserve">Gates OK. Q3=2: equilibrar empatía y precisión sin validar el recuerdo ni negarlo por completo discrimina de verdad entre modelos. Q4=1: el tono y la 'no invalidación' dependen de juicio subjetivo. Q7=1: mismo contenido que PSY-021, en dimensión distinta. Q8=2: Loftus (2005) es directamente pertinente.</t>
  </si>
  <si>
    <t xml:space="preserve">PSY-028</t>
  </si>
  <si>
    <t xml:space="preserve">tamaño del efecto y significación</t>
  </si>
  <si>
    <t xml:space="preserve">Gates OK. Q3=2: exige construir un ejemplo coherente con muestra grande y efecto trivial, algo que los modelos débiles fallan con frecuencia. Q7=1: comparte tema y fuente (declaración ASA) con PSY-015. Discrepancia de metadatos: JSON 'hard', plantilla 'medium'; Q6 puntuado sobre 'hard'.</t>
  </si>
  <si>
    <t xml:space="preserve">PSY-029</t>
  </si>
  <si>
    <t xml:space="preserve">motivación autónoma</t>
  </si>
  <si>
    <t xml:space="preserve">Gates OK. Q3=2: la trampa 'autonomía = motivación intrínseca' es un discriminador real y está recogida en los errores críticos. Q7=1: cuarto ítem de teoría de la autodeterminación del piloto (ver PSY-006). Q8=2: Howard et al. (2021) es un metaanálisis pertinente; no verificado de forma independiente.</t>
  </si>
  <si>
    <t xml:space="preserve">PSY-030</t>
  </si>
  <si>
    <t xml:space="preserve">evidencia sobre psicoterapia</t>
  </si>
  <si>
    <t xml:space="preserve">G6=ACCEPT: el enunciado pide explícitamente no convertir la respuesta en recomendación clínica personalizada. Q3=2: exige separar evidencia poblacional de resultado individual sin prometer eficacia ni declarar irrelevante la evidencia. Q7=1: comparte objeto (evidencia sobre TCC en depresión) con PSY-014 y lógica de generalización con PSY-022. Discrepancia de metadatos: JSON 'hard', plantilla 'medium'.</t>
  </si>
  <si>
    <t xml:space="preserve">Elemento</t>
  </si>
  <si>
    <t xml:space="preserve">Uso</t>
  </si>
  <si>
    <t xml:space="preserve">GATES</t>
  </si>
  <si>
    <t xml:space="preserve">Marca G1-G8 como ACCEPT / REVISE / REJECT. La decisión sugerida prioriza cualquier REJECT y después cualquier REVISE.</t>
  </si>
  <si>
    <t xml:space="preserve">Q1-Q9</t>
  </si>
  <si>
    <t xml:space="preserve">Puntúa cada criterio de 0 a 2. Q8 permite NA cuando no se requiere fuente externa.</t>
  </si>
  <si>
    <t xml:space="preserve">Se calcula automáticamente.</t>
  </si>
  <si>
    <t xml:space="preserve">Se calcula automáticamente según los criterios con puntuación numérica.</t>
  </si>
  <si>
    <t xml:space="preserve">Q Total / Q Máx. Es descriptivo y no sustituye los umbrales de la QQR.</t>
  </si>
  <si>
    <t xml:space="preserve">Automática, basada en % (no en puntos absolutos), para no penalizar los ítems con Q8=N/A: Gate REJECT -&gt; REJECT; Gate REVISE -&gt; REVISE; si todos ACCEPT, se aplica veto (cualquier Q1-Q4=0 -&gt; máximo REVISE), y si no hay veto: Score % &gt;= 16/18 (88.9%) -&gt; ACCEPT; &gt;= 14/18 (77.8%) -&gt; REVISE; por debajo -&gt; REJECT.</t>
  </si>
  <si>
    <t xml:space="preserve">Campo manual para la decisión definitiva del revisor.</t>
  </si>
  <si>
    <t xml:space="preserve">Justificación breve, problemas detectados y cualquier RUBRIC_ISSUE.</t>
  </si>
  <si>
    <t xml:space="preserve">Reviewer / Fecha</t>
  </si>
  <si>
    <t xml:space="preserve">Registra quién revisó el ítem y cuándo.</t>
  </si>
  <si>
    <t xml:space="preserve">IMPORTANTE</t>
  </si>
  <si>
    <t xml:space="preserve">Resuelto (04/09/2026): el schema ahora usa el patrón literal ^PSY-[0-9]{3}$, alineado con los IDs del piloto (PSY-001...PSY-030). Ver PR #1.</t>
  </si>
  <si>
    <t xml:space="preserve">Métrica</t>
  </si>
  <si>
    <t xml:space="preserve">Valor</t>
  </si>
  <si>
    <t xml:space="preserve">Ítems piloto</t>
  </si>
  <si>
    <t xml:space="preserve">Revisados</t>
  </si>
  <si>
    <t xml:space="preserve">ACCEPT finales</t>
  </si>
  <si>
    <t xml:space="preserve">REVISE finales</t>
  </si>
  <si>
    <t xml:space="preserve">REJECT finales</t>
  </si>
  <si>
    <t xml:space="preserve">Media Q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</si>
</sst>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P2" activePane="bottomRight" state="frozen"/>
      <selection pane="topLeft" activeCell="A1" activeCellId="0" sqref="A1"/>
      <selection pane="topRight" activeCell="P1" activeCellId="0" sqref="P1"/>
      <selection pane="bottomLeft" activeCell="A2" activeCellId="0" sqref="A2"/>
      <selection pane="bottomRight" activeCell="Z27" activeCellId="0" sqref="Z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12" min="5" style="0" width="11"/>
    <col collapsed="false" customWidth="true" hidden="false" outlineLevel="0" max="21" min="13" style="0" width="9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11"/>
    <col collapsed="false" customWidth="true" hidden="false" outlineLevel="0" max="25" min="25" style="0" width="18"/>
    <col collapsed="false" customWidth="true" hidden="false" outlineLevel="0" max="26" min="26" style="0" width="16"/>
    <col collapsed="false" customWidth="true" hidden="false" outlineLevel="0" max="27" min="27" style="0" width="40"/>
    <col collapsed="false" customWidth="true" hidden="false" outlineLevel="0" max="28" min="28" style="0" width="16"/>
    <col collapsed="false" customWidth="true" hidden="false" outlineLevel="0" max="29" min="29" style="0" width="12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22.25" hidden="false" customHeight="true" outlineLevel="0" collapsed="false">
      <c r="A2" s="2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33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n">
        <v>2</v>
      </c>
      <c r="N2" s="4" t="n">
        <v>2</v>
      </c>
      <c r="O2" s="4" t="n">
        <v>1</v>
      </c>
      <c r="P2" s="4" t="n">
        <v>2</v>
      </c>
      <c r="Q2" s="4" t="n">
        <v>2</v>
      </c>
      <c r="R2" s="4" t="n">
        <v>2</v>
      </c>
      <c r="S2" s="4" t="n">
        <v>2</v>
      </c>
      <c r="T2" s="4" t="n">
        <v>1</v>
      </c>
      <c r="U2" s="4" t="n">
        <v>2</v>
      </c>
      <c r="V2" s="3" t="n">
        <f aca="false">SUM(M2:S2,IF(ISNUMBER(T2),T2,0),U2)</f>
        <v>16</v>
      </c>
      <c r="W2" s="3" t="n">
        <f aca="false">COUNT(M2:U2)*2</f>
        <v>18</v>
      </c>
      <c r="X2" s="5" t="n">
        <f aca="false">IF(W2=0,"",V2/W2)</f>
        <v>0.888888888888889</v>
      </c>
      <c r="Y2" s="4" t="str">
        <f aca="false">IF(COUNTIF(E2:L2,"REJECT")&gt;0,"REJECT",IF(COUNTIF(E2:L2,"REVISE")&gt;0,"REVISE",IF(W2=0,"",IF(OR(AND(ISNUMBER(M2),M2=0),AND(ISNUMBER(N2),N2=0),AND(ISNUMBER(O2),O2=0),AND(ISNUMBER(P2),P2=0)),"REVISE",IF(X2&gt;=16/18,"ACCEPT",IF(X2&gt;=14/18,"REVISE","REJECT"))))))</f>
        <v>ACCEPT</v>
      </c>
      <c r="Z2" s="3" t="s">
        <v>33</v>
      </c>
      <c r="AA2" s="3" t="s">
        <v>34</v>
      </c>
      <c r="AB2" s="3" t="s">
        <v>35</v>
      </c>
      <c r="AC2" s="3"/>
    </row>
    <row r="3" customFormat="false" ht="122.25" hidden="false" customHeight="true" outlineLevel="0" collapsed="false">
      <c r="A3" s="2" t="s">
        <v>36</v>
      </c>
      <c r="B3" s="3" t="s">
        <v>30</v>
      </c>
      <c r="C3" s="3" t="s">
        <v>37</v>
      </c>
      <c r="D3" s="3" t="s">
        <v>38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n">
        <v>2</v>
      </c>
      <c r="N3" s="4" t="n">
        <v>2</v>
      </c>
      <c r="O3" s="4" t="n">
        <v>1</v>
      </c>
      <c r="P3" s="4" t="n">
        <v>2</v>
      </c>
      <c r="Q3" s="4" t="n">
        <v>2</v>
      </c>
      <c r="R3" s="4" t="n">
        <v>2</v>
      </c>
      <c r="S3" s="4" t="n">
        <v>2</v>
      </c>
      <c r="T3" s="4" t="n">
        <v>1</v>
      </c>
      <c r="U3" s="4" t="n">
        <v>2</v>
      </c>
      <c r="V3" s="3" t="n">
        <f aca="false">SUM(M3:S3,IF(ISNUMBER(T3),T3,0),U3)</f>
        <v>16</v>
      </c>
      <c r="W3" s="3" t="n">
        <f aca="false">COUNT(M3:U3)*2</f>
        <v>18</v>
      </c>
      <c r="X3" s="5" t="n">
        <f aca="false">IF(W3=0,"",V3/W3)</f>
        <v>0.888888888888889</v>
      </c>
      <c r="Y3" s="4" t="str">
        <f aca="false">IF(COUNTIF(E3:L3,"REJECT")&gt;0,"REJECT",IF(COUNTIF(E3:L3,"REVISE")&gt;0,"REVISE",IF(W3=0,"",IF(OR(AND(ISNUMBER(M3),M3=0),AND(ISNUMBER(N3),N3=0),AND(ISNUMBER(O3),O3=0),AND(ISNUMBER(P3),P3=0)),"REVISE",IF(X3&gt;=16/18,"ACCEPT",IF(X3&gt;=14/18,"REVISE","REJECT"))))))</f>
        <v>ACCEPT</v>
      </c>
      <c r="Z3" s="3" t="s">
        <v>33</v>
      </c>
      <c r="AA3" s="3" t="s">
        <v>39</v>
      </c>
      <c r="AB3" s="3" t="s">
        <v>35</v>
      </c>
      <c r="AC3" s="3"/>
    </row>
    <row r="4" customFormat="false" ht="95.25" hidden="false" customHeight="true" outlineLevel="0" collapsed="false">
      <c r="A4" s="2" t="s">
        <v>40</v>
      </c>
      <c r="B4" s="3" t="s">
        <v>30</v>
      </c>
      <c r="C4" s="3" t="s">
        <v>41</v>
      </c>
      <c r="D4" s="3" t="s">
        <v>38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n">
        <v>2</v>
      </c>
      <c r="N4" s="4" t="n">
        <v>2</v>
      </c>
      <c r="O4" s="4" t="n">
        <v>1</v>
      </c>
      <c r="P4" s="4" t="n">
        <v>2</v>
      </c>
      <c r="Q4" s="4" t="n">
        <v>2</v>
      </c>
      <c r="R4" s="4" t="n">
        <v>2</v>
      </c>
      <c r="S4" s="4" t="n">
        <v>1</v>
      </c>
      <c r="T4" s="4" t="n">
        <v>2</v>
      </c>
      <c r="U4" s="4" t="n">
        <v>2</v>
      </c>
      <c r="V4" s="3" t="n">
        <f aca="false">SUM(M4:S4,IF(ISNUMBER(T4),T4,0),U4)</f>
        <v>16</v>
      </c>
      <c r="W4" s="3" t="n">
        <f aca="false">COUNT(M4:U4)*2</f>
        <v>18</v>
      </c>
      <c r="X4" s="5" t="n">
        <f aca="false">IF(W4=0,"",V4/W4)</f>
        <v>0.888888888888889</v>
      </c>
      <c r="Y4" s="4" t="str">
        <f aca="false">IF(COUNTIF(E4:L4,"REJECT")&gt;0,"REJECT",IF(COUNTIF(E4:L4,"REVISE")&gt;0,"REVISE",IF(W4=0,"",IF(OR(AND(ISNUMBER(M4),M4=0),AND(ISNUMBER(N4),N4=0),AND(ISNUMBER(O4),O4=0),AND(ISNUMBER(P4),P4=0)),"REVISE",IF(X4&gt;=16/18,"ACCEPT",IF(X4&gt;=14/18,"REVISE","REJECT"))))))</f>
        <v>ACCEPT</v>
      </c>
      <c r="Z4" s="3" t="s">
        <v>33</v>
      </c>
      <c r="AA4" s="3" t="s">
        <v>42</v>
      </c>
      <c r="AB4" s="3" t="s">
        <v>35</v>
      </c>
      <c r="AC4" s="3"/>
    </row>
    <row r="5" customFormat="false" ht="108.75" hidden="false" customHeight="true" outlineLevel="0" collapsed="false">
      <c r="A5" s="2" t="s">
        <v>43</v>
      </c>
      <c r="B5" s="3" t="s">
        <v>30</v>
      </c>
      <c r="C5" s="3" t="s">
        <v>44</v>
      </c>
      <c r="D5" s="3" t="s">
        <v>32</v>
      </c>
      <c r="E5" s="3" t="s">
        <v>33</v>
      </c>
      <c r="F5" s="3" t="s">
        <v>33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n">
        <v>2</v>
      </c>
      <c r="N5" s="4" t="n">
        <v>2</v>
      </c>
      <c r="O5" s="4" t="n">
        <v>0</v>
      </c>
      <c r="P5" s="4" t="n">
        <v>2</v>
      </c>
      <c r="Q5" s="4" t="n">
        <v>2</v>
      </c>
      <c r="R5" s="4" t="n">
        <v>2</v>
      </c>
      <c r="S5" s="4" t="n">
        <v>2</v>
      </c>
      <c r="T5" s="4" t="n">
        <v>2</v>
      </c>
      <c r="U5" s="4" t="n">
        <v>2</v>
      </c>
      <c r="V5" s="3" t="n">
        <f aca="false">SUM(M5:S5,IF(ISNUMBER(T5),T5,0),U5)</f>
        <v>16</v>
      </c>
      <c r="W5" s="3" t="n">
        <f aca="false">COUNT(M5:U5)*2</f>
        <v>18</v>
      </c>
      <c r="X5" s="5" t="n">
        <f aca="false">IF(W5=0,"",V5/W5)</f>
        <v>0.888888888888889</v>
      </c>
      <c r="Y5" s="4" t="str">
        <f aca="false">IF(COUNTIF(E5:L5,"REJECT")&gt;0,"REJECT",IF(COUNTIF(E5:L5,"REVISE")&gt;0,"REVISE",IF(W5=0,"",IF(OR(AND(ISNUMBER(M5),M5=0),AND(ISNUMBER(N5),N5=0),AND(ISNUMBER(O5),O5=0),AND(ISNUMBER(P5),P5=0)),"REVISE",IF(X5&gt;=16/18,"ACCEPT",IF(X5&gt;=14/18,"REVISE","REJECT"))))))</f>
        <v>REVISE</v>
      </c>
      <c r="Z5" s="3" t="s">
        <v>45</v>
      </c>
      <c r="AA5" s="3" t="s">
        <v>46</v>
      </c>
      <c r="AB5" s="3" t="s">
        <v>35</v>
      </c>
      <c r="AC5" s="3"/>
    </row>
    <row r="6" customFormat="false" ht="81.75" hidden="false" customHeight="true" outlineLevel="0" collapsed="false">
      <c r="A6" s="2" t="s">
        <v>47</v>
      </c>
      <c r="B6" s="3" t="s">
        <v>30</v>
      </c>
      <c r="C6" s="3" t="s">
        <v>48</v>
      </c>
      <c r="D6" s="3" t="s">
        <v>38</v>
      </c>
      <c r="E6" s="3" t="s">
        <v>33</v>
      </c>
      <c r="F6" s="3" t="s">
        <v>33</v>
      </c>
      <c r="G6" s="3" t="s">
        <v>33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n">
        <v>2</v>
      </c>
      <c r="N6" s="4" t="n">
        <v>2</v>
      </c>
      <c r="O6" s="4" t="n">
        <v>1</v>
      </c>
      <c r="P6" s="4" t="n">
        <v>2</v>
      </c>
      <c r="Q6" s="4" t="n">
        <v>2</v>
      </c>
      <c r="R6" s="4" t="n">
        <v>1</v>
      </c>
      <c r="S6" s="4" t="n">
        <v>2</v>
      </c>
      <c r="T6" s="4" t="n">
        <v>2</v>
      </c>
      <c r="U6" s="4" t="n">
        <v>2</v>
      </c>
      <c r="V6" s="3" t="n">
        <f aca="false">SUM(M6:S6,IF(ISNUMBER(T6),T6,0),U6)</f>
        <v>16</v>
      </c>
      <c r="W6" s="3" t="n">
        <f aca="false">COUNT(M6:U6)*2</f>
        <v>18</v>
      </c>
      <c r="X6" s="5" t="n">
        <f aca="false">IF(W6=0,"",V6/W6)</f>
        <v>0.888888888888889</v>
      </c>
      <c r="Y6" s="4" t="str">
        <f aca="false">IF(COUNTIF(E6:L6,"REJECT")&gt;0,"REJECT",IF(COUNTIF(E6:L6,"REVISE")&gt;0,"REVISE",IF(W6=0,"",IF(OR(AND(ISNUMBER(M6),M6=0),AND(ISNUMBER(N6),N6=0),AND(ISNUMBER(O6),O6=0),AND(ISNUMBER(P6),P6=0)),"REVISE",IF(X6&gt;=16/18,"ACCEPT",IF(X6&gt;=14/18,"REVISE","REJECT"))))))</f>
        <v>ACCEPT</v>
      </c>
      <c r="Z6" s="3" t="s">
        <v>33</v>
      </c>
      <c r="AA6" s="3" t="s">
        <v>49</v>
      </c>
      <c r="AB6" s="3" t="s">
        <v>35</v>
      </c>
      <c r="AC6" s="3"/>
    </row>
    <row r="7" customFormat="false" ht="122.25" hidden="false" customHeight="true" outlineLevel="0" collapsed="false">
      <c r="A7" s="2" t="s">
        <v>50</v>
      </c>
      <c r="B7" s="3" t="s">
        <v>30</v>
      </c>
      <c r="C7" s="3" t="s">
        <v>51</v>
      </c>
      <c r="D7" s="3" t="s">
        <v>38</v>
      </c>
      <c r="E7" s="3" t="s">
        <v>33</v>
      </c>
      <c r="F7" s="3" t="s">
        <v>33</v>
      </c>
      <c r="G7" s="3" t="s">
        <v>33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n">
        <v>2</v>
      </c>
      <c r="N7" s="4" t="n">
        <v>2</v>
      </c>
      <c r="O7" s="4" t="n">
        <v>1</v>
      </c>
      <c r="P7" s="4" t="n">
        <v>2</v>
      </c>
      <c r="Q7" s="4" t="n">
        <v>2</v>
      </c>
      <c r="R7" s="4" t="n">
        <v>1</v>
      </c>
      <c r="S7" s="4" t="n">
        <v>1</v>
      </c>
      <c r="T7" s="4" t="n">
        <v>2</v>
      </c>
      <c r="U7" s="4" t="n">
        <v>2</v>
      </c>
      <c r="V7" s="3" t="n">
        <f aca="false">SUM(M7:S7,IF(ISNUMBER(T7),T7,0),U7)</f>
        <v>15</v>
      </c>
      <c r="W7" s="3" t="n">
        <f aca="false">COUNT(M7:U7)*2</f>
        <v>18</v>
      </c>
      <c r="X7" s="5" t="n">
        <f aca="false">IF(W7=0,"",V7/W7)</f>
        <v>0.833333333333333</v>
      </c>
      <c r="Y7" s="4" t="str">
        <f aca="false">IF(COUNTIF(E7:L7,"REJECT")&gt;0,"REJECT",IF(COUNTIF(E7:L7,"REVISE")&gt;0,"REVISE",IF(W7=0,"",IF(OR(AND(ISNUMBER(M7),M7=0),AND(ISNUMBER(N7),N7=0),AND(ISNUMBER(O7),O7=0),AND(ISNUMBER(P7),P7=0)),"REVISE",IF(X7&gt;=16/18,"ACCEPT",IF(X7&gt;=14/18,"REVISE","REJECT"))))))</f>
        <v>REVISE</v>
      </c>
      <c r="Z7" s="3" t="s">
        <v>45</v>
      </c>
      <c r="AA7" s="3" t="s">
        <v>52</v>
      </c>
      <c r="AB7" s="3" t="s">
        <v>35</v>
      </c>
      <c r="AC7" s="3"/>
    </row>
    <row r="8" customFormat="false" ht="135.75" hidden="false" customHeight="true" outlineLevel="0" collapsed="false">
      <c r="A8" s="2" t="s">
        <v>53</v>
      </c>
      <c r="B8" s="3" t="s">
        <v>54</v>
      </c>
      <c r="C8" s="3" t="s">
        <v>55</v>
      </c>
      <c r="D8" s="3" t="s">
        <v>38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n">
        <v>2</v>
      </c>
      <c r="N8" s="4" t="n">
        <v>2</v>
      </c>
      <c r="O8" s="4" t="n">
        <v>2</v>
      </c>
      <c r="P8" s="4" t="n">
        <v>2</v>
      </c>
      <c r="Q8" s="4" t="n">
        <v>2</v>
      </c>
      <c r="R8" s="4" t="n">
        <v>2</v>
      </c>
      <c r="S8" s="4" t="n">
        <v>1</v>
      </c>
      <c r="T8" s="4" t="s">
        <v>56</v>
      </c>
      <c r="U8" s="4" t="n">
        <v>2</v>
      </c>
      <c r="V8" s="3" t="n">
        <f aca="false">SUM(M8:S8,IF(ISNUMBER(T8),T8,0),U8)</f>
        <v>15</v>
      </c>
      <c r="W8" s="3" t="n">
        <f aca="false">COUNT(M8:U8)*2</f>
        <v>16</v>
      </c>
      <c r="X8" s="5" t="n">
        <f aca="false">IF(W8=0,"",V8/W8)</f>
        <v>0.9375</v>
      </c>
      <c r="Y8" s="4" t="str">
        <f aca="false">IF(COUNTIF(E8:L8,"REJECT")&gt;0,"REJECT",IF(COUNTIF(E8:L8,"REVISE")&gt;0,"REVISE",IF(W8=0,"",IF(OR(AND(ISNUMBER(M8),M8=0),AND(ISNUMBER(N8),N8=0),AND(ISNUMBER(O8),O8=0),AND(ISNUMBER(P8),P8=0)),"REVISE",IF(X8&gt;=16/18,"ACCEPT",IF(X8&gt;=14/18,"REVISE","REJECT"))))))</f>
        <v>ACCEPT</v>
      </c>
      <c r="Z8" s="3" t="s">
        <v>33</v>
      </c>
      <c r="AA8" s="3" t="s">
        <v>57</v>
      </c>
      <c r="AB8" s="3" t="s">
        <v>35</v>
      </c>
      <c r="AC8" s="3"/>
    </row>
    <row r="9" customFormat="false" ht="68.25" hidden="false" customHeight="true" outlineLevel="0" collapsed="false">
      <c r="A9" s="2" t="s">
        <v>58</v>
      </c>
      <c r="B9" s="3" t="s">
        <v>54</v>
      </c>
      <c r="C9" s="3" t="s">
        <v>59</v>
      </c>
      <c r="D9" s="3" t="s">
        <v>38</v>
      </c>
      <c r="E9" s="3" t="s">
        <v>33</v>
      </c>
      <c r="F9" s="3" t="s">
        <v>33</v>
      </c>
      <c r="G9" s="3" t="s">
        <v>33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n">
        <v>2</v>
      </c>
      <c r="N9" s="4" t="n">
        <v>2</v>
      </c>
      <c r="O9" s="4" t="n">
        <v>1</v>
      </c>
      <c r="P9" s="4" t="n">
        <v>2</v>
      </c>
      <c r="Q9" s="4" t="n">
        <v>2</v>
      </c>
      <c r="R9" s="4" t="n">
        <v>2</v>
      </c>
      <c r="S9" s="4" t="n">
        <v>1</v>
      </c>
      <c r="T9" s="4" t="n">
        <v>2</v>
      </c>
      <c r="U9" s="4" t="n">
        <v>2</v>
      </c>
      <c r="V9" s="3" t="n">
        <f aca="false">SUM(M9:S9,IF(ISNUMBER(T9),T9,0),U9)</f>
        <v>16</v>
      </c>
      <c r="W9" s="3" t="n">
        <f aca="false">COUNT(M9:U9)*2</f>
        <v>18</v>
      </c>
      <c r="X9" s="5" t="n">
        <f aca="false">IF(W9=0,"",V9/W9)</f>
        <v>0.888888888888889</v>
      </c>
      <c r="Y9" s="4" t="str">
        <f aca="false">IF(COUNTIF(E9:L9,"REJECT")&gt;0,"REJECT",IF(COUNTIF(E9:L9,"REVISE")&gt;0,"REVISE",IF(W9=0,"",IF(OR(AND(ISNUMBER(M9),M9=0),AND(ISNUMBER(N9),N9=0),AND(ISNUMBER(O9),O9=0),AND(ISNUMBER(P9),P9=0)),"REVISE",IF(X9&gt;=16/18,"ACCEPT",IF(X9&gt;=14/18,"REVISE","REJECT"))))))</f>
        <v>ACCEPT</v>
      </c>
      <c r="Z9" s="3" t="s">
        <v>33</v>
      </c>
      <c r="AA9" s="3" t="s">
        <v>60</v>
      </c>
      <c r="AB9" s="3" t="s">
        <v>35</v>
      </c>
      <c r="AC9" s="3"/>
    </row>
    <row r="10" customFormat="false" ht="149.25" hidden="false" customHeight="true" outlineLevel="0" collapsed="false">
      <c r="A10" s="2" t="s">
        <v>61</v>
      </c>
      <c r="B10" s="3" t="s">
        <v>54</v>
      </c>
      <c r="C10" s="3" t="s">
        <v>62</v>
      </c>
      <c r="D10" s="3" t="s">
        <v>38</v>
      </c>
      <c r="E10" s="3" t="s">
        <v>33</v>
      </c>
      <c r="F10" s="3" t="s">
        <v>33</v>
      </c>
      <c r="G10" s="3" t="s">
        <v>45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n">
        <v>1</v>
      </c>
      <c r="N10" s="4" t="n">
        <v>2</v>
      </c>
      <c r="O10" s="4" t="n">
        <v>1</v>
      </c>
      <c r="P10" s="4" t="n">
        <v>2</v>
      </c>
      <c r="Q10" s="4" t="n">
        <v>2</v>
      </c>
      <c r="R10" s="4" t="n">
        <v>1</v>
      </c>
      <c r="S10" s="4" t="n">
        <v>1</v>
      </c>
      <c r="T10" s="4" t="s">
        <v>56</v>
      </c>
      <c r="U10" s="4" t="n">
        <v>2</v>
      </c>
      <c r="V10" s="3" t="n">
        <f aca="false">SUM(M10:S10,IF(ISNUMBER(T10),T10,0),U10)</f>
        <v>12</v>
      </c>
      <c r="W10" s="3" t="n">
        <f aca="false">COUNT(M10:U10)*2</f>
        <v>16</v>
      </c>
      <c r="X10" s="5" t="n">
        <f aca="false">IF(W10=0,"",V10/W10)</f>
        <v>0.75</v>
      </c>
      <c r="Y10" s="4" t="str">
        <f aca="false">IF(COUNTIF(E10:L10,"REJECT")&gt;0,"REJECT",IF(COUNTIF(E10:L10,"REVISE")&gt;0,"REVISE",IF(W10=0,"",IF(OR(AND(ISNUMBER(M10),M10=0),AND(ISNUMBER(N10),N10=0),AND(ISNUMBER(O10),O10=0),AND(ISNUMBER(P10),P10=0)),"REVISE",IF(X10&gt;=16/18,"ACCEPT",IF(X10&gt;=14/18,"REVISE","REJECT"))))))</f>
        <v>REVISE</v>
      </c>
      <c r="Z10" s="3" t="s">
        <v>45</v>
      </c>
      <c r="AA10" s="3" t="s">
        <v>63</v>
      </c>
      <c r="AB10" s="3" t="s">
        <v>35</v>
      </c>
      <c r="AC10" s="3"/>
    </row>
    <row r="11" customFormat="false" ht="95.25" hidden="false" customHeight="true" outlineLevel="0" collapsed="false">
      <c r="A11" s="2" t="s">
        <v>64</v>
      </c>
      <c r="B11" s="3" t="s">
        <v>54</v>
      </c>
      <c r="C11" s="3" t="s">
        <v>65</v>
      </c>
      <c r="D11" s="3" t="s">
        <v>38</v>
      </c>
      <c r="E11" s="3" t="s">
        <v>33</v>
      </c>
      <c r="F11" s="3" t="s">
        <v>33</v>
      </c>
      <c r="G11" s="3" t="s">
        <v>33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n">
        <v>2</v>
      </c>
      <c r="N11" s="4" t="n">
        <v>2</v>
      </c>
      <c r="O11" s="4" t="n">
        <v>1</v>
      </c>
      <c r="P11" s="4" t="n">
        <v>2</v>
      </c>
      <c r="Q11" s="4" t="n">
        <v>2</v>
      </c>
      <c r="R11" s="4" t="n">
        <v>2</v>
      </c>
      <c r="S11" s="4" t="n">
        <v>1</v>
      </c>
      <c r="T11" s="4" t="n">
        <v>2</v>
      </c>
      <c r="U11" s="4" t="n">
        <v>2</v>
      </c>
      <c r="V11" s="3" t="n">
        <f aca="false">SUM(M11:S11,IF(ISNUMBER(T11),T11,0),U11)</f>
        <v>16</v>
      </c>
      <c r="W11" s="3" t="n">
        <f aca="false">COUNT(M11:U11)*2</f>
        <v>18</v>
      </c>
      <c r="X11" s="5" t="n">
        <f aca="false">IF(W11=0,"",V11/W11)</f>
        <v>0.888888888888889</v>
      </c>
      <c r="Y11" s="4" t="str">
        <f aca="false">IF(COUNTIF(E11:L11,"REJECT")&gt;0,"REJECT",IF(COUNTIF(E11:L11,"REVISE")&gt;0,"REVISE",IF(W11=0,"",IF(OR(AND(ISNUMBER(M11),M11=0),AND(ISNUMBER(N11),N11=0),AND(ISNUMBER(O11),O11=0),AND(ISNUMBER(P11),P11=0)),"REVISE",IF(X11&gt;=16/18,"ACCEPT",IF(X11&gt;=14/18,"REVISE","REJECT"))))))</f>
        <v>ACCEPT</v>
      </c>
      <c r="Z11" s="3" t="s">
        <v>33</v>
      </c>
      <c r="AA11" s="3" t="s">
        <v>66</v>
      </c>
      <c r="AB11" s="3" t="s">
        <v>35</v>
      </c>
      <c r="AC11" s="3"/>
    </row>
    <row r="12" customFormat="false" ht="135.75" hidden="false" customHeight="true" outlineLevel="0" collapsed="false">
      <c r="A12" s="2" t="s">
        <v>67</v>
      </c>
      <c r="B12" s="3" t="s">
        <v>54</v>
      </c>
      <c r="C12" s="3" t="s">
        <v>68</v>
      </c>
      <c r="D12" s="3" t="s">
        <v>69</v>
      </c>
      <c r="E12" s="3" t="s">
        <v>33</v>
      </c>
      <c r="F12" s="3" t="s">
        <v>33</v>
      </c>
      <c r="G12" s="3" t="s">
        <v>33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4" t="n">
        <v>2</v>
      </c>
      <c r="N12" s="4" t="n">
        <v>2</v>
      </c>
      <c r="O12" s="4" t="n">
        <v>2</v>
      </c>
      <c r="P12" s="4" t="n">
        <v>2</v>
      </c>
      <c r="Q12" s="4" t="n">
        <v>2</v>
      </c>
      <c r="R12" s="4" t="n">
        <v>2</v>
      </c>
      <c r="S12" s="4" t="n">
        <v>1</v>
      </c>
      <c r="T12" s="4" t="n">
        <v>1</v>
      </c>
      <c r="U12" s="4" t="n">
        <v>2</v>
      </c>
      <c r="V12" s="3" t="n">
        <f aca="false">SUM(M12:S12,IF(ISNUMBER(T12),T12,0),U12)</f>
        <v>16</v>
      </c>
      <c r="W12" s="3" t="n">
        <f aca="false">COUNT(M12:U12)*2</f>
        <v>18</v>
      </c>
      <c r="X12" s="5" t="n">
        <f aca="false">IF(W12=0,"",V12/W12)</f>
        <v>0.888888888888889</v>
      </c>
      <c r="Y12" s="4" t="str">
        <f aca="false">IF(COUNTIF(E12:L12,"REJECT")&gt;0,"REJECT",IF(COUNTIF(E12:L12,"REVISE")&gt;0,"REVISE",IF(W12=0,"",IF(OR(AND(ISNUMBER(M12),M12=0),AND(ISNUMBER(N12),N12=0),AND(ISNUMBER(O12),O12=0),AND(ISNUMBER(P12),P12=0)),"REVISE",IF(X12&gt;=16/18,"ACCEPT",IF(X12&gt;=14/18,"REVISE","REJECT"))))))</f>
        <v>ACCEPT</v>
      </c>
      <c r="Z12" s="3" t="s">
        <v>33</v>
      </c>
      <c r="AA12" s="3" t="s">
        <v>70</v>
      </c>
      <c r="AB12" s="3" t="s">
        <v>35</v>
      </c>
      <c r="AC12" s="3"/>
    </row>
    <row r="13" customFormat="false" ht="81.75" hidden="false" customHeight="true" outlineLevel="0" collapsed="false">
      <c r="A13" s="2" t="s">
        <v>71</v>
      </c>
      <c r="B13" s="3" t="s">
        <v>54</v>
      </c>
      <c r="C13" s="3" t="s">
        <v>72</v>
      </c>
      <c r="D13" s="3" t="s">
        <v>69</v>
      </c>
      <c r="E13" s="3" t="s">
        <v>33</v>
      </c>
      <c r="F13" s="3" t="s">
        <v>33</v>
      </c>
      <c r="G13" s="3" t="s">
        <v>33</v>
      </c>
      <c r="H13" s="3" t="s">
        <v>33</v>
      </c>
      <c r="I13" s="3" t="s">
        <v>33</v>
      </c>
      <c r="J13" s="3" t="s">
        <v>33</v>
      </c>
      <c r="K13" s="3" t="s">
        <v>33</v>
      </c>
      <c r="L13" s="3" t="s">
        <v>33</v>
      </c>
      <c r="M13" s="4" t="n">
        <v>2</v>
      </c>
      <c r="N13" s="4" t="n">
        <v>2</v>
      </c>
      <c r="O13" s="4" t="n">
        <v>2</v>
      </c>
      <c r="P13" s="4" t="n">
        <v>2</v>
      </c>
      <c r="Q13" s="4" t="n">
        <v>2</v>
      </c>
      <c r="R13" s="4" t="n">
        <v>2</v>
      </c>
      <c r="S13" s="4" t="n">
        <v>2</v>
      </c>
      <c r="T13" s="4" t="n">
        <v>2</v>
      </c>
      <c r="U13" s="4" t="n">
        <v>2</v>
      </c>
      <c r="V13" s="3" t="n">
        <f aca="false">SUM(M13:S13,IF(ISNUMBER(T13),T13,0),U13)</f>
        <v>18</v>
      </c>
      <c r="W13" s="3" t="n">
        <f aca="false">COUNT(M13:U13)*2</f>
        <v>18</v>
      </c>
      <c r="X13" s="5" t="n">
        <f aca="false">IF(W13=0,"",V13/W13)</f>
        <v>1</v>
      </c>
      <c r="Y13" s="4" t="str">
        <f aca="false">IF(COUNTIF(E13:L13,"REJECT")&gt;0,"REJECT",IF(COUNTIF(E13:L13,"REVISE")&gt;0,"REVISE",IF(W13=0,"",IF(OR(AND(ISNUMBER(M13),M13=0),AND(ISNUMBER(N13),N13=0),AND(ISNUMBER(O13),O13=0),AND(ISNUMBER(P13),P13=0)),"REVISE",IF(X13&gt;=16/18,"ACCEPT",IF(X13&gt;=14/18,"REVISE","REJECT"))))))</f>
        <v>ACCEPT</v>
      </c>
      <c r="Z13" s="3" t="s">
        <v>33</v>
      </c>
      <c r="AA13" s="3" t="s">
        <v>73</v>
      </c>
      <c r="AB13" s="3" t="s">
        <v>35</v>
      </c>
      <c r="AC13" s="3"/>
    </row>
    <row r="14" customFormat="false" ht="122.25" hidden="false" customHeight="true" outlineLevel="0" collapsed="false">
      <c r="A14" s="2" t="s">
        <v>74</v>
      </c>
      <c r="B14" s="3" t="s">
        <v>75</v>
      </c>
      <c r="C14" s="3" t="s">
        <v>76</v>
      </c>
      <c r="D14" s="3" t="s">
        <v>69</v>
      </c>
      <c r="E14" s="3" t="s">
        <v>33</v>
      </c>
      <c r="F14" s="3" t="s">
        <v>33</v>
      </c>
      <c r="G14" s="3" t="s">
        <v>33</v>
      </c>
      <c r="H14" s="3" t="s">
        <v>33</v>
      </c>
      <c r="I14" s="3" t="s">
        <v>33</v>
      </c>
      <c r="J14" s="3" t="s">
        <v>33</v>
      </c>
      <c r="K14" s="3" t="s">
        <v>33</v>
      </c>
      <c r="L14" s="3" t="s">
        <v>33</v>
      </c>
      <c r="M14" s="4" t="n">
        <v>2</v>
      </c>
      <c r="N14" s="4" t="n">
        <v>2</v>
      </c>
      <c r="O14" s="4" t="n">
        <v>2</v>
      </c>
      <c r="P14" s="4" t="n">
        <v>2</v>
      </c>
      <c r="Q14" s="4" t="n">
        <v>2</v>
      </c>
      <c r="R14" s="4" t="n">
        <v>2</v>
      </c>
      <c r="S14" s="4" t="n">
        <v>2</v>
      </c>
      <c r="T14" s="4" t="n">
        <v>2</v>
      </c>
      <c r="U14" s="4" t="n">
        <v>2</v>
      </c>
      <c r="V14" s="3" t="n">
        <f aca="false">SUM(M14:S14,IF(ISNUMBER(T14),T14,0),U14)</f>
        <v>18</v>
      </c>
      <c r="W14" s="3" t="n">
        <f aca="false">COUNT(M14:U14)*2</f>
        <v>18</v>
      </c>
      <c r="X14" s="5" t="n">
        <f aca="false">IF(W14=0,"",V14/W14)</f>
        <v>1</v>
      </c>
      <c r="Y14" s="4" t="str">
        <f aca="false">IF(COUNTIF(E14:L14,"REJECT")&gt;0,"REJECT",IF(COUNTIF(E14:L14,"REVISE")&gt;0,"REVISE",IF(W14=0,"",IF(OR(AND(ISNUMBER(M14),M14=0),AND(ISNUMBER(N14),N14=0),AND(ISNUMBER(O14),O14=0),AND(ISNUMBER(P14),P14=0)),"REVISE",IF(X14&gt;=16/18,"ACCEPT",IF(X14&gt;=14/18,"REVISE","REJECT"))))))</f>
        <v>ACCEPT</v>
      </c>
      <c r="Z14" s="3" t="s">
        <v>33</v>
      </c>
      <c r="AA14" s="3" t="s">
        <v>77</v>
      </c>
      <c r="AB14" s="3" t="s">
        <v>35</v>
      </c>
      <c r="AC14" s="3"/>
    </row>
    <row r="15" customFormat="false" ht="108.75" hidden="false" customHeight="true" outlineLevel="0" collapsed="false">
      <c r="A15" s="2" t="s">
        <v>78</v>
      </c>
      <c r="B15" s="3" t="s">
        <v>75</v>
      </c>
      <c r="C15" s="3" t="s">
        <v>79</v>
      </c>
      <c r="D15" s="3" t="s">
        <v>69</v>
      </c>
      <c r="E15" s="3" t="s">
        <v>33</v>
      </c>
      <c r="F15" s="3" t="s">
        <v>33</v>
      </c>
      <c r="G15" s="3" t="s">
        <v>33</v>
      </c>
      <c r="H15" s="3" t="s">
        <v>33</v>
      </c>
      <c r="I15" s="3" t="s">
        <v>33</v>
      </c>
      <c r="J15" s="3" t="s">
        <v>33</v>
      </c>
      <c r="K15" s="3" t="s">
        <v>33</v>
      </c>
      <c r="L15" s="3" t="s">
        <v>33</v>
      </c>
      <c r="M15" s="4" t="n">
        <v>2</v>
      </c>
      <c r="N15" s="4" t="n">
        <v>2</v>
      </c>
      <c r="O15" s="4" t="n">
        <v>2</v>
      </c>
      <c r="P15" s="4" t="n">
        <v>2</v>
      </c>
      <c r="Q15" s="4" t="n">
        <v>2</v>
      </c>
      <c r="R15" s="4" t="n">
        <v>2</v>
      </c>
      <c r="S15" s="4" t="n">
        <v>2</v>
      </c>
      <c r="T15" s="4" t="n">
        <v>2</v>
      </c>
      <c r="U15" s="4" t="n">
        <v>2</v>
      </c>
      <c r="V15" s="3" t="n">
        <f aca="false">SUM(M15:S15,IF(ISNUMBER(T15),T15,0),U15)</f>
        <v>18</v>
      </c>
      <c r="W15" s="3" t="n">
        <f aca="false">COUNT(M15:U15)*2</f>
        <v>18</v>
      </c>
      <c r="X15" s="5" t="n">
        <f aca="false">IF(W15=0,"",V15/W15)</f>
        <v>1</v>
      </c>
      <c r="Y15" s="4" t="str">
        <f aca="false">IF(COUNTIF(E15:L15,"REJECT")&gt;0,"REJECT",IF(COUNTIF(E15:L15,"REVISE")&gt;0,"REVISE",IF(W15=0,"",IF(OR(AND(ISNUMBER(M15),M15=0),AND(ISNUMBER(N15),N15=0),AND(ISNUMBER(O15),O15=0),AND(ISNUMBER(P15),P15=0)),"REVISE",IF(X15&gt;=16/18,"ACCEPT",IF(X15&gt;=14/18,"REVISE","REJECT"))))))</f>
        <v>ACCEPT</v>
      </c>
      <c r="Z15" s="3" t="s">
        <v>33</v>
      </c>
      <c r="AA15" s="3" t="s">
        <v>80</v>
      </c>
      <c r="AB15" s="3" t="s">
        <v>35</v>
      </c>
      <c r="AC15" s="3"/>
    </row>
    <row r="16" customFormat="false" ht="95.25" hidden="false" customHeight="true" outlineLevel="0" collapsed="false">
      <c r="A16" s="2" t="s">
        <v>81</v>
      </c>
      <c r="B16" s="3" t="s">
        <v>75</v>
      </c>
      <c r="C16" s="3" t="s">
        <v>82</v>
      </c>
      <c r="D16" s="3" t="s">
        <v>69</v>
      </c>
      <c r="E16" s="3" t="s">
        <v>33</v>
      </c>
      <c r="F16" s="3" t="s">
        <v>33</v>
      </c>
      <c r="G16" s="3" t="s">
        <v>33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33</v>
      </c>
      <c r="M16" s="4" t="n">
        <v>2</v>
      </c>
      <c r="N16" s="4" t="n">
        <v>2</v>
      </c>
      <c r="O16" s="4" t="n">
        <v>1</v>
      </c>
      <c r="P16" s="4" t="n">
        <v>2</v>
      </c>
      <c r="Q16" s="4" t="n">
        <v>2</v>
      </c>
      <c r="R16" s="4" t="n">
        <v>2</v>
      </c>
      <c r="S16" s="4" t="n">
        <v>1</v>
      </c>
      <c r="T16" s="4" t="n">
        <v>2</v>
      </c>
      <c r="U16" s="4" t="n">
        <v>2</v>
      </c>
      <c r="V16" s="3" t="n">
        <f aca="false">SUM(M16:S16,IF(ISNUMBER(T16),T16,0),U16)</f>
        <v>16</v>
      </c>
      <c r="W16" s="3" t="n">
        <f aca="false">COUNT(M16:U16)*2</f>
        <v>18</v>
      </c>
      <c r="X16" s="5" t="n">
        <f aca="false">IF(W16=0,"",V16/W16)</f>
        <v>0.888888888888889</v>
      </c>
      <c r="Y16" s="4" t="str">
        <f aca="false">IF(COUNTIF(E16:L16,"REJECT")&gt;0,"REJECT",IF(COUNTIF(E16:L16,"REVISE")&gt;0,"REVISE",IF(W16=0,"",IF(OR(AND(ISNUMBER(M16),M16=0),AND(ISNUMBER(N16),N16=0),AND(ISNUMBER(O16),O16=0),AND(ISNUMBER(P16),P16=0)),"REVISE",IF(X16&gt;=16/18,"ACCEPT",IF(X16&gt;=14/18,"REVISE","REJECT"))))))</f>
        <v>ACCEPT</v>
      </c>
      <c r="Z16" s="3" t="s">
        <v>33</v>
      </c>
      <c r="AA16" s="3" t="s">
        <v>83</v>
      </c>
      <c r="AB16" s="3" t="s">
        <v>35</v>
      </c>
      <c r="AC16" s="3"/>
    </row>
    <row r="17" customFormat="false" ht="108.75" hidden="false" customHeight="true" outlineLevel="0" collapsed="false">
      <c r="A17" s="2" t="s">
        <v>84</v>
      </c>
      <c r="B17" s="3" t="s">
        <v>75</v>
      </c>
      <c r="C17" s="3" t="s">
        <v>85</v>
      </c>
      <c r="D17" s="3" t="s">
        <v>69</v>
      </c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33</v>
      </c>
      <c r="J17" s="3" t="s">
        <v>33</v>
      </c>
      <c r="K17" s="3" t="s">
        <v>33</v>
      </c>
      <c r="L17" s="3" t="s">
        <v>33</v>
      </c>
      <c r="M17" s="4" t="n">
        <v>2</v>
      </c>
      <c r="N17" s="4" t="n">
        <v>2</v>
      </c>
      <c r="O17" s="4" t="n">
        <v>2</v>
      </c>
      <c r="P17" s="4" t="n">
        <v>2</v>
      </c>
      <c r="Q17" s="4" t="n">
        <v>2</v>
      </c>
      <c r="R17" s="4" t="n">
        <v>2</v>
      </c>
      <c r="S17" s="4" t="n">
        <v>2</v>
      </c>
      <c r="T17" s="4" t="n">
        <v>2</v>
      </c>
      <c r="U17" s="4" t="n">
        <v>2</v>
      </c>
      <c r="V17" s="3" t="n">
        <f aca="false">SUM(M17:S17,IF(ISNUMBER(T17),T17,0),U17)</f>
        <v>18</v>
      </c>
      <c r="W17" s="3" t="n">
        <f aca="false">COUNT(M17:U17)*2</f>
        <v>18</v>
      </c>
      <c r="X17" s="5" t="n">
        <f aca="false">IF(W17=0,"",V17/W17)</f>
        <v>1</v>
      </c>
      <c r="Y17" s="4" t="str">
        <f aca="false">IF(COUNTIF(E17:L17,"REJECT")&gt;0,"REJECT",IF(COUNTIF(E17:L17,"REVISE")&gt;0,"REVISE",IF(W17=0,"",IF(OR(AND(ISNUMBER(M17),M17=0),AND(ISNUMBER(N17),N17=0),AND(ISNUMBER(O17),O17=0),AND(ISNUMBER(P17),P17=0)),"REVISE",IF(X17&gt;=16/18,"ACCEPT",IF(X17&gt;=14/18,"REVISE","REJECT"))))))</f>
        <v>ACCEPT</v>
      </c>
      <c r="Z17" s="3" t="s">
        <v>33</v>
      </c>
      <c r="AA17" s="3" t="s">
        <v>86</v>
      </c>
      <c r="AB17" s="3" t="s">
        <v>35</v>
      </c>
      <c r="AC17" s="3"/>
    </row>
    <row r="18" customFormat="false" ht="135.75" hidden="false" customHeight="true" outlineLevel="0" collapsed="false">
      <c r="A18" s="2" t="s">
        <v>87</v>
      </c>
      <c r="B18" s="3" t="s">
        <v>75</v>
      </c>
      <c r="C18" s="3" t="s">
        <v>51</v>
      </c>
      <c r="D18" s="3" t="s">
        <v>69</v>
      </c>
      <c r="E18" s="3" t="s">
        <v>33</v>
      </c>
      <c r="F18" s="3" t="s">
        <v>33</v>
      </c>
      <c r="G18" s="3" t="s">
        <v>33</v>
      </c>
      <c r="H18" s="3" t="s">
        <v>33</v>
      </c>
      <c r="I18" s="3" t="s">
        <v>33</v>
      </c>
      <c r="J18" s="3" t="s">
        <v>33</v>
      </c>
      <c r="K18" s="3" t="s">
        <v>33</v>
      </c>
      <c r="L18" s="3" t="s">
        <v>33</v>
      </c>
      <c r="M18" s="4" t="n">
        <v>2</v>
      </c>
      <c r="N18" s="4" t="n">
        <v>2</v>
      </c>
      <c r="O18" s="4" t="n">
        <v>1</v>
      </c>
      <c r="P18" s="4" t="n">
        <v>2</v>
      </c>
      <c r="Q18" s="4" t="n">
        <v>2</v>
      </c>
      <c r="R18" s="4" t="n">
        <v>2</v>
      </c>
      <c r="S18" s="4" t="n">
        <v>1</v>
      </c>
      <c r="T18" s="4" t="n">
        <v>1</v>
      </c>
      <c r="U18" s="4" t="n">
        <v>2</v>
      </c>
      <c r="V18" s="3" t="n">
        <f aca="false">SUM(M18:S18,IF(ISNUMBER(T18),T18,0),U18)</f>
        <v>15</v>
      </c>
      <c r="W18" s="3" t="n">
        <f aca="false">COUNT(M18:U18)*2</f>
        <v>18</v>
      </c>
      <c r="X18" s="5" t="n">
        <f aca="false">IF(W18=0,"",V18/W18)</f>
        <v>0.833333333333333</v>
      </c>
      <c r="Y18" s="4" t="str">
        <f aca="false">IF(COUNTIF(E18:L18,"REJECT")&gt;0,"REJECT",IF(COUNTIF(E18:L18,"REVISE")&gt;0,"REVISE",IF(W18=0,"",IF(OR(AND(ISNUMBER(M18),M18=0),AND(ISNUMBER(N18),N18=0),AND(ISNUMBER(O18),O18=0),AND(ISNUMBER(P18),P18=0)),"REVISE",IF(X18&gt;=16/18,"ACCEPT",IF(X18&gt;=14/18,"REVISE","REJECT"))))))</f>
        <v>REVISE</v>
      </c>
      <c r="Z18" s="3" t="s">
        <v>45</v>
      </c>
      <c r="AA18" s="3" t="s">
        <v>88</v>
      </c>
      <c r="AB18" s="3" t="s">
        <v>35</v>
      </c>
      <c r="AC18" s="3"/>
    </row>
    <row r="19" customFormat="false" ht="95.25" hidden="false" customHeight="true" outlineLevel="0" collapsed="false">
      <c r="A19" s="2" t="s">
        <v>89</v>
      </c>
      <c r="B19" s="3" t="s">
        <v>75</v>
      </c>
      <c r="C19" s="3" t="s">
        <v>90</v>
      </c>
      <c r="D19" s="3" t="s">
        <v>69</v>
      </c>
      <c r="E19" s="3" t="s">
        <v>33</v>
      </c>
      <c r="F19" s="3" t="s">
        <v>33</v>
      </c>
      <c r="G19" s="3" t="s">
        <v>33</v>
      </c>
      <c r="H19" s="3" t="s">
        <v>33</v>
      </c>
      <c r="I19" s="3" t="s">
        <v>33</v>
      </c>
      <c r="J19" s="3" t="s">
        <v>33</v>
      </c>
      <c r="K19" s="3" t="s">
        <v>33</v>
      </c>
      <c r="L19" s="3" t="s">
        <v>33</v>
      </c>
      <c r="M19" s="4" t="n">
        <v>2</v>
      </c>
      <c r="N19" s="4" t="n">
        <v>2</v>
      </c>
      <c r="O19" s="4" t="n">
        <v>1</v>
      </c>
      <c r="P19" s="4" t="n">
        <v>2</v>
      </c>
      <c r="Q19" s="4" t="n">
        <v>2</v>
      </c>
      <c r="R19" s="4" t="n">
        <v>2</v>
      </c>
      <c r="S19" s="4" t="n">
        <v>1</v>
      </c>
      <c r="T19" s="4" t="s">
        <v>56</v>
      </c>
      <c r="U19" s="4" t="n">
        <v>2</v>
      </c>
      <c r="V19" s="3" t="n">
        <f aca="false">SUM(M19:S19,IF(ISNUMBER(T19),T19,0),U19)</f>
        <v>14</v>
      </c>
      <c r="W19" s="3" t="n">
        <f aca="false">COUNT(M19:U19)*2</f>
        <v>16</v>
      </c>
      <c r="X19" s="5" t="n">
        <f aca="false">IF(W19=0,"",V19/W19)</f>
        <v>0.875</v>
      </c>
      <c r="Y19" s="4" t="str">
        <f aca="false">IF(COUNTIF(E19:L19,"REJECT")&gt;0,"REJECT",IF(COUNTIF(E19:L19,"REVISE")&gt;0,"REVISE",IF(W19=0,"",IF(OR(AND(ISNUMBER(M19),M19=0),AND(ISNUMBER(N19),N19=0),AND(ISNUMBER(O19),O19=0),AND(ISNUMBER(P19),P19=0)),"REVISE",IF(X19&gt;=16/18,"ACCEPT",IF(X19&gt;=14/18,"REVISE","REJECT"))))))</f>
        <v>REVISE</v>
      </c>
      <c r="Z19" s="3" t="s">
        <v>45</v>
      </c>
      <c r="AA19" s="3" t="s">
        <v>91</v>
      </c>
      <c r="AB19" s="3" t="s">
        <v>35</v>
      </c>
      <c r="AC19" s="3"/>
    </row>
    <row r="20" customFormat="false" ht="122.25" hidden="false" customHeight="true" outlineLevel="0" collapsed="false">
      <c r="A20" s="2" t="s">
        <v>92</v>
      </c>
      <c r="B20" s="3" t="s">
        <v>93</v>
      </c>
      <c r="C20" s="3" t="s">
        <v>94</v>
      </c>
      <c r="D20" s="3" t="s">
        <v>38</v>
      </c>
      <c r="E20" s="3" t="s">
        <v>33</v>
      </c>
      <c r="F20" s="3" t="s">
        <v>33</v>
      </c>
      <c r="G20" s="3" t="s">
        <v>33</v>
      </c>
      <c r="H20" s="3" t="s">
        <v>33</v>
      </c>
      <c r="I20" s="3" t="s">
        <v>33</v>
      </c>
      <c r="J20" s="3" t="s">
        <v>33</v>
      </c>
      <c r="K20" s="3" t="s">
        <v>33</v>
      </c>
      <c r="L20" s="3" t="s">
        <v>33</v>
      </c>
      <c r="M20" s="4" t="n">
        <v>2</v>
      </c>
      <c r="N20" s="4" t="n">
        <v>2</v>
      </c>
      <c r="O20" s="4" t="n">
        <v>1</v>
      </c>
      <c r="P20" s="4" t="n">
        <v>2</v>
      </c>
      <c r="Q20" s="4" t="n">
        <v>2</v>
      </c>
      <c r="R20" s="4" t="n">
        <v>2</v>
      </c>
      <c r="S20" s="4" t="n">
        <v>2</v>
      </c>
      <c r="T20" s="4" t="s">
        <v>56</v>
      </c>
      <c r="U20" s="4" t="n">
        <v>2</v>
      </c>
      <c r="V20" s="3" t="n">
        <f aca="false">SUM(M20:S20,IF(ISNUMBER(T20),T20,0),U20)</f>
        <v>15</v>
      </c>
      <c r="W20" s="3" t="n">
        <f aca="false">COUNT(M20:U20)*2</f>
        <v>16</v>
      </c>
      <c r="X20" s="5" t="n">
        <f aca="false">IF(W20=0,"",V20/W20)</f>
        <v>0.9375</v>
      </c>
      <c r="Y20" s="4" t="str">
        <f aca="false">IF(COUNTIF(E20:L20,"REJECT")&gt;0,"REJECT",IF(COUNTIF(E20:L20,"REVISE")&gt;0,"REVISE",IF(W20=0,"",IF(OR(AND(ISNUMBER(M20),M20=0),AND(ISNUMBER(N20),N20=0),AND(ISNUMBER(O20),O20=0),AND(ISNUMBER(P20),P20=0)),"REVISE",IF(X20&gt;=16/18,"ACCEPT",IF(X20&gt;=14/18,"REVISE","REJECT"))))))</f>
        <v>ACCEPT</v>
      </c>
      <c r="Z20" s="3" t="s">
        <v>33</v>
      </c>
      <c r="AA20" s="3" t="s">
        <v>95</v>
      </c>
      <c r="AB20" s="3" t="s">
        <v>35</v>
      </c>
      <c r="AC20" s="3"/>
    </row>
    <row r="21" customFormat="false" ht="135.75" hidden="false" customHeight="true" outlineLevel="0" collapsed="false">
      <c r="A21" s="2" t="s">
        <v>96</v>
      </c>
      <c r="B21" s="3" t="s">
        <v>93</v>
      </c>
      <c r="C21" s="3" t="s">
        <v>97</v>
      </c>
      <c r="D21" s="3" t="s">
        <v>38</v>
      </c>
      <c r="E21" s="3" t="s">
        <v>33</v>
      </c>
      <c r="F21" s="3" t="s">
        <v>33</v>
      </c>
      <c r="G21" s="3" t="s">
        <v>33</v>
      </c>
      <c r="H21" s="3" t="s">
        <v>33</v>
      </c>
      <c r="I21" s="3" t="s">
        <v>33</v>
      </c>
      <c r="J21" s="3" t="s">
        <v>33</v>
      </c>
      <c r="K21" s="3" t="s">
        <v>33</v>
      </c>
      <c r="L21" s="3" t="s">
        <v>33</v>
      </c>
      <c r="M21" s="4" t="n">
        <v>2</v>
      </c>
      <c r="N21" s="4" t="n">
        <v>2</v>
      </c>
      <c r="O21" s="4" t="n">
        <v>1</v>
      </c>
      <c r="P21" s="4" t="n">
        <v>2</v>
      </c>
      <c r="Q21" s="4" t="n">
        <v>2</v>
      </c>
      <c r="R21" s="4" t="n">
        <v>2</v>
      </c>
      <c r="S21" s="4" t="n">
        <v>0</v>
      </c>
      <c r="T21" s="4" t="s">
        <v>56</v>
      </c>
      <c r="U21" s="4" t="n">
        <v>2</v>
      </c>
      <c r="V21" s="3" t="n">
        <f aca="false">SUM(M21:S21,IF(ISNUMBER(T21),T21,0),U21)</f>
        <v>13</v>
      </c>
      <c r="W21" s="3" t="n">
        <f aca="false">COUNT(M21:U21)*2</f>
        <v>16</v>
      </c>
      <c r="X21" s="5" t="n">
        <f aca="false">IF(W21=0,"",V21/W21)</f>
        <v>0.8125</v>
      </c>
      <c r="Y21" s="4" t="str">
        <f aca="false">IF(COUNTIF(E21:L21,"REJECT")&gt;0,"REJECT",IF(COUNTIF(E21:L21,"REVISE")&gt;0,"REVISE",IF(W21=0,"",IF(OR(AND(ISNUMBER(M21),M21=0),AND(ISNUMBER(N21),N21=0),AND(ISNUMBER(O21),O21=0),AND(ISNUMBER(P21),P21=0)),"REVISE",IF(X21&gt;=16/18,"ACCEPT",IF(X21&gt;=14/18,"REVISE","REJECT"))))))</f>
        <v>REVISE</v>
      </c>
      <c r="Z21" s="3" t="s">
        <v>45</v>
      </c>
      <c r="AA21" s="3" t="s">
        <v>98</v>
      </c>
      <c r="AB21" s="3" t="s">
        <v>35</v>
      </c>
      <c r="AC21" s="3"/>
    </row>
    <row r="22" customFormat="false" ht="135.75" hidden="false" customHeight="true" outlineLevel="0" collapsed="false">
      <c r="A22" s="2" t="s">
        <v>99</v>
      </c>
      <c r="B22" s="3" t="s">
        <v>93</v>
      </c>
      <c r="C22" s="3" t="s">
        <v>100</v>
      </c>
      <c r="D22" s="3" t="s">
        <v>69</v>
      </c>
      <c r="E22" s="3" t="s">
        <v>33</v>
      </c>
      <c r="F22" s="3" t="s">
        <v>33</v>
      </c>
      <c r="G22" s="3" t="s">
        <v>33</v>
      </c>
      <c r="H22" s="3" t="s">
        <v>33</v>
      </c>
      <c r="I22" s="3" t="s">
        <v>33</v>
      </c>
      <c r="J22" s="3" t="s">
        <v>33</v>
      </c>
      <c r="K22" s="3" t="s">
        <v>33</v>
      </c>
      <c r="L22" s="3" t="s">
        <v>33</v>
      </c>
      <c r="M22" s="4" t="n">
        <v>2</v>
      </c>
      <c r="N22" s="4" t="n">
        <v>2</v>
      </c>
      <c r="O22" s="4" t="n">
        <v>1</v>
      </c>
      <c r="P22" s="4" t="n">
        <v>2</v>
      </c>
      <c r="Q22" s="4" t="n">
        <v>2</v>
      </c>
      <c r="R22" s="4" t="n">
        <v>1</v>
      </c>
      <c r="S22" s="4" t="n">
        <v>1</v>
      </c>
      <c r="T22" s="4" t="n">
        <v>1</v>
      </c>
      <c r="U22" s="4" t="n">
        <v>2</v>
      </c>
      <c r="V22" s="3" t="n">
        <f aca="false">SUM(M22:S22,IF(ISNUMBER(T22),T22,0),U22)</f>
        <v>14</v>
      </c>
      <c r="W22" s="3" t="n">
        <f aca="false">COUNT(M22:U22)*2</f>
        <v>18</v>
      </c>
      <c r="X22" s="5" t="n">
        <f aca="false">IF(W22=0,"",V22/W22)</f>
        <v>0.777777777777778</v>
      </c>
      <c r="Y22" s="4" t="str">
        <f aca="false">IF(COUNTIF(E22:L22,"REJECT")&gt;0,"REJECT",IF(COUNTIF(E22:L22,"REVISE")&gt;0,"REVISE",IF(W22=0,"",IF(OR(AND(ISNUMBER(M22),M22=0),AND(ISNUMBER(N22),N22=0),AND(ISNUMBER(O22),O22=0),AND(ISNUMBER(P22),P22=0)),"REVISE",IF(X22&gt;=16/18,"ACCEPT",IF(X22&gt;=14/18,"REVISE","REJECT"))))))</f>
        <v>REVISE</v>
      </c>
      <c r="Z22" s="3" t="s">
        <v>45</v>
      </c>
      <c r="AA22" s="3" t="s">
        <v>101</v>
      </c>
      <c r="AB22" s="3" t="s">
        <v>35</v>
      </c>
      <c r="AC22" s="3"/>
    </row>
    <row r="23" customFormat="false" ht="95.25" hidden="false" customHeight="true" outlineLevel="0" collapsed="false">
      <c r="A23" s="2" t="s">
        <v>102</v>
      </c>
      <c r="B23" s="3" t="s">
        <v>93</v>
      </c>
      <c r="C23" s="3" t="s">
        <v>103</v>
      </c>
      <c r="D23" s="3" t="s">
        <v>69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33</v>
      </c>
      <c r="J23" s="3" t="s">
        <v>33</v>
      </c>
      <c r="K23" s="3" t="s">
        <v>33</v>
      </c>
      <c r="L23" s="3" t="s">
        <v>33</v>
      </c>
      <c r="M23" s="4" t="n">
        <v>2</v>
      </c>
      <c r="N23" s="4" t="n">
        <v>2</v>
      </c>
      <c r="O23" s="4" t="n">
        <v>2</v>
      </c>
      <c r="P23" s="4" t="n">
        <v>2</v>
      </c>
      <c r="Q23" s="4" t="n">
        <v>2</v>
      </c>
      <c r="R23" s="4" t="n">
        <v>2</v>
      </c>
      <c r="S23" s="4" t="n">
        <v>1</v>
      </c>
      <c r="T23" s="4" t="s">
        <v>56</v>
      </c>
      <c r="U23" s="4" t="n">
        <v>2</v>
      </c>
      <c r="V23" s="3" t="n">
        <f aca="false">SUM(M23:S23,IF(ISNUMBER(T23),T23,0),U23)</f>
        <v>15</v>
      </c>
      <c r="W23" s="3" t="n">
        <f aca="false">COUNT(M23:U23)*2</f>
        <v>16</v>
      </c>
      <c r="X23" s="5" t="n">
        <f aca="false">IF(W23=0,"",V23/W23)</f>
        <v>0.9375</v>
      </c>
      <c r="Y23" s="4" t="str">
        <f aca="false">IF(COUNTIF(E23:L23,"REJECT")&gt;0,"REJECT",IF(COUNTIF(E23:L23,"REVISE")&gt;0,"REVISE",IF(W23=0,"",IF(OR(AND(ISNUMBER(M23),M23=0),AND(ISNUMBER(N23),N23=0),AND(ISNUMBER(O23),O23=0),AND(ISNUMBER(P23),P23=0)),"REVISE",IF(X23&gt;=16/18,"ACCEPT",IF(X23&gt;=14/18,"REVISE","REJECT"))))))</f>
        <v>ACCEPT</v>
      </c>
      <c r="Z23" s="3" t="s">
        <v>33</v>
      </c>
      <c r="AA23" s="3" t="s">
        <v>104</v>
      </c>
      <c r="AB23" s="3" t="s">
        <v>35</v>
      </c>
      <c r="AC23" s="3"/>
    </row>
    <row r="24" customFormat="false" ht="95.25" hidden="false" customHeight="true" outlineLevel="0" collapsed="false">
      <c r="A24" s="2" t="s">
        <v>105</v>
      </c>
      <c r="B24" s="3" t="s">
        <v>93</v>
      </c>
      <c r="C24" s="3" t="s">
        <v>106</v>
      </c>
      <c r="D24" s="3" t="s">
        <v>38</v>
      </c>
      <c r="E24" s="3" t="s">
        <v>33</v>
      </c>
      <c r="F24" s="3" t="s">
        <v>33</v>
      </c>
      <c r="G24" s="3" t="s">
        <v>33</v>
      </c>
      <c r="H24" s="3" t="s">
        <v>33</v>
      </c>
      <c r="I24" s="3" t="s">
        <v>33</v>
      </c>
      <c r="J24" s="3" t="s">
        <v>33</v>
      </c>
      <c r="K24" s="3" t="s">
        <v>33</v>
      </c>
      <c r="L24" s="3" t="s">
        <v>33</v>
      </c>
      <c r="M24" s="4" t="n">
        <v>2</v>
      </c>
      <c r="N24" s="4" t="n">
        <v>2</v>
      </c>
      <c r="O24" s="4" t="n">
        <v>1</v>
      </c>
      <c r="P24" s="4" t="n">
        <v>2</v>
      </c>
      <c r="Q24" s="4" t="n">
        <v>2</v>
      </c>
      <c r="R24" s="4" t="n">
        <v>2</v>
      </c>
      <c r="S24" s="4" t="n">
        <v>2</v>
      </c>
      <c r="T24" s="4" t="s">
        <v>56</v>
      </c>
      <c r="U24" s="4" t="n">
        <v>2</v>
      </c>
      <c r="V24" s="3" t="n">
        <f aca="false">SUM(M24:S24,IF(ISNUMBER(T24),T24,0),U24)</f>
        <v>15</v>
      </c>
      <c r="W24" s="3" t="n">
        <f aca="false">COUNT(M24:U24)*2</f>
        <v>16</v>
      </c>
      <c r="X24" s="5" t="n">
        <f aca="false">IF(W24=0,"",V24/W24)</f>
        <v>0.9375</v>
      </c>
      <c r="Y24" s="4" t="str">
        <f aca="false">IF(COUNTIF(E24:L24,"REJECT")&gt;0,"REJECT",IF(COUNTIF(E24:L24,"REVISE")&gt;0,"REVISE",IF(W24=0,"",IF(OR(AND(ISNUMBER(M24),M24=0),AND(ISNUMBER(N24),N24=0),AND(ISNUMBER(O24),O24=0),AND(ISNUMBER(P24),P24=0)),"REVISE",IF(X24&gt;=16/18,"ACCEPT",IF(X24&gt;=14/18,"REVISE","REJECT"))))))</f>
        <v>ACCEPT</v>
      </c>
      <c r="Z24" s="3" t="s">
        <v>33</v>
      </c>
      <c r="AA24" s="3" t="s">
        <v>107</v>
      </c>
      <c r="AB24" s="3" t="s">
        <v>35</v>
      </c>
      <c r="AC24" s="3"/>
    </row>
    <row r="25" customFormat="false" ht="108.75" hidden="false" customHeight="true" outlineLevel="0" collapsed="false">
      <c r="A25" s="2" t="s">
        <v>108</v>
      </c>
      <c r="B25" s="3" t="s">
        <v>93</v>
      </c>
      <c r="C25" s="3" t="s">
        <v>109</v>
      </c>
      <c r="D25" s="3" t="s">
        <v>69</v>
      </c>
      <c r="E25" s="3" t="s">
        <v>33</v>
      </c>
      <c r="F25" s="3" t="s">
        <v>33</v>
      </c>
      <c r="G25" s="3" t="s">
        <v>33</v>
      </c>
      <c r="H25" s="3" t="s">
        <v>33</v>
      </c>
      <c r="I25" s="3" t="s">
        <v>33</v>
      </c>
      <c r="J25" s="3" t="s">
        <v>33</v>
      </c>
      <c r="K25" s="3" t="s">
        <v>33</v>
      </c>
      <c r="L25" s="3" t="s">
        <v>33</v>
      </c>
      <c r="M25" s="4" t="n">
        <v>2</v>
      </c>
      <c r="N25" s="4" t="n">
        <v>2</v>
      </c>
      <c r="O25" s="4" t="n">
        <v>1</v>
      </c>
      <c r="P25" s="4" t="n">
        <v>2</v>
      </c>
      <c r="Q25" s="4" t="n">
        <v>2</v>
      </c>
      <c r="R25" s="4" t="n">
        <v>2</v>
      </c>
      <c r="S25" s="4" t="n">
        <v>2</v>
      </c>
      <c r="T25" s="4" t="s">
        <v>56</v>
      </c>
      <c r="U25" s="4" t="n">
        <v>2</v>
      </c>
      <c r="V25" s="3" t="n">
        <f aca="false">SUM(M25:S25,IF(ISNUMBER(T25),T25,0),U25)</f>
        <v>15</v>
      </c>
      <c r="W25" s="3" t="n">
        <f aca="false">COUNT(M25:U25)*2</f>
        <v>16</v>
      </c>
      <c r="X25" s="5" t="n">
        <f aca="false">IF(W25=0,"",V25/W25)</f>
        <v>0.9375</v>
      </c>
      <c r="Y25" s="4" t="str">
        <f aca="false">IF(COUNTIF(E25:L25,"REJECT")&gt;0,"REJECT",IF(COUNTIF(E25:L25,"REVISE")&gt;0,"REVISE",IF(W25=0,"",IF(OR(AND(ISNUMBER(M25),M25=0),AND(ISNUMBER(N25),N25=0),AND(ISNUMBER(O25),O25=0),AND(ISNUMBER(P25),P25=0)),"REVISE",IF(X25&gt;=16/18,"ACCEPT",IF(X25&gt;=14/18,"REVISE","REJECT"))))))</f>
        <v>ACCEPT</v>
      </c>
      <c r="Z25" s="3" t="s">
        <v>33</v>
      </c>
      <c r="AA25" s="3" t="s">
        <v>110</v>
      </c>
      <c r="AB25" s="3" t="s">
        <v>111</v>
      </c>
      <c r="AC25" s="3"/>
    </row>
    <row r="26" customFormat="false" ht="122.25" hidden="false" customHeight="true" outlineLevel="0" collapsed="false">
      <c r="A26" s="2" t="s">
        <v>112</v>
      </c>
      <c r="B26" s="3" t="s">
        <v>113</v>
      </c>
      <c r="C26" s="3" t="s">
        <v>114</v>
      </c>
      <c r="D26" s="3" t="s">
        <v>38</v>
      </c>
      <c r="E26" s="3" t="s">
        <v>33</v>
      </c>
      <c r="F26" s="3" t="s">
        <v>33</v>
      </c>
      <c r="G26" s="3" t="s">
        <v>33</v>
      </c>
      <c r="H26" s="3" t="s">
        <v>33</v>
      </c>
      <c r="I26" s="3" t="s">
        <v>33</v>
      </c>
      <c r="J26" s="3" t="s">
        <v>33</v>
      </c>
      <c r="K26" s="3" t="s">
        <v>33</v>
      </c>
      <c r="L26" s="3" t="s">
        <v>33</v>
      </c>
      <c r="M26" s="4" t="n">
        <v>2</v>
      </c>
      <c r="N26" s="4" t="n">
        <v>2</v>
      </c>
      <c r="O26" s="4" t="n">
        <v>1</v>
      </c>
      <c r="P26" s="4" t="n">
        <v>1</v>
      </c>
      <c r="Q26" s="4" t="n">
        <v>2</v>
      </c>
      <c r="R26" s="4" t="n">
        <v>2</v>
      </c>
      <c r="S26" s="4" t="n">
        <v>2</v>
      </c>
      <c r="T26" s="4" t="s">
        <v>56</v>
      </c>
      <c r="U26" s="4" t="n">
        <v>2</v>
      </c>
      <c r="V26" s="3" t="n">
        <f aca="false">SUM(M26:S26,IF(ISNUMBER(T26),T26,0),U26)</f>
        <v>14</v>
      </c>
      <c r="W26" s="3" t="n">
        <f aca="false">COUNT(M26:U26)*2</f>
        <v>16</v>
      </c>
      <c r="X26" s="5" t="n">
        <f aca="false">IF(W26=0,"",V26/W26)</f>
        <v>0.875</v>
      </c>
      <c r="Y26" s="4" t="str">
        <f aca="false">IF(COUNTIF(E26:L26,"REJECT")&gt;0,"REJECT",IF(COUNTIF(E26:L26,"REVISE")&gt;0,"REVISE",IF(W26=0,"",IF(OR(AND(ISNUMBER(M26),M26=0),AND(ISNUMBER(N26),N26=0),AND(ISNUMBER(O26),O26=0),AND(ISNUMBER(P26),P26=0)),"REVISE",IF(X26&gt;=16/18,"ACCEPT",IF(X26&gt;=14/18,"REVISE","REJECT"))))))</f>
        <v>REVISE</v>
      </c>
      <c r="Z26" s="3" t="s">
        <v>45</v>
      </c>
      <c r="AA26" s="3" t="s">
        <v>115</v>
      </c>
      <c r="AB26" s="3" t="s">
        <v>35</v>
      </c>
      <c r="AC26" s="3"/>
    </row>
    <row r="27" customFormat="false" ht="95.25" hidden="false" customHeight="true" outlineLevel="0" collapsed="false">
      <c r="A27" s="2" t="s">
        <v>116</v>
      </c>
      <c r="B27" s="3" t="s">
        <v>113</v>
      </c>
      <c r="C27" s="3" t="s">
        <v>62</v>
      </c>
      <c r="D27" s="3" t="s">
        <v>38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33</v>
      </c>
      <c r="J27" s="3" t="s">
        <v>33</v>
      </c>
      <c r="K27" s="3" t="s">
        <v>33</v>
      </c>
      <c r="L27" s="3" t="s">
        <v>33</v>
      </c>
      <c r="M27" s="4" t="n">
        <v>2</v>
      </c>
      <c r="N27" s="4" t="n">
        <v>2</v>
      </c>
      <c r="O27" s="4" t="n">
        <v>1</v>
      </c>
      <c r="P27" s="4" t="n">
        <v>2</v>
      </c>
      <c r="Q27" s="4" t="n">
        <v>2</v>
      </c>
      <c r="R27" s="4" t="n">
        <v>2</v>
      </c>
      <c r="S27" s="4" t="n">
        <v>2</v>
      </c>
      <c r="T27" s="4" t="s">
        <v>56</v>
      </c>
      <c r="U27" s="4" t="n">
        <v>2</v>
      </c>
      <c r="V27" s="3" t="n">
        <f aca="false">SUM(M27:S27,IF(ISNUMBER(T27),T27,0),U27)</f>
        <v>15</v>
      </c>
      <c r="W27" s="3" t="n">
        <f aca="false">COUNT(M27:U27)*2</f>
        <v>16</v>
      </c>
      <c r="X27" s="5" t="n">
        <f aca="false">IF(W27=0,"",V27/W27)</f>
        <v>0.9375</v>
      </c>
      <c r="Y27" s="4" t="str">
        <f aca="false">IF(COUNTIF(E27:L27,"REJECT")&gt;0,"REJECT",IF(COUNTIF(E27:L27,"REVISE")&gt;0,"REVISE",IF(W27=0,"",IF(OR(AND(ISNUMBER(M27),M27=0),AND(ISNUMBER(N27),N27=0),AND(ISNUMBER(O27),O27=0),AND(ISNUMBER(P27),P27=0)),"REVISE",IF(X27&gt;=16/18,"ACCEPT",IF(X27&gt;=14/18,"REVISE","REJECT"))))))</f>
        <v>ACCEPT</v>
      </c>
      <c r="Z27" s="3" t="s">
        <v>33</v>
      </c>
      <c r="AA27" s="3" t="s">
        <v>117</v>
      </c>
      <c r="AB27" s="3" t="s">
        <v>118</v>
      </c>
      <c r="AC27" s="3"/>
    </row>
    <row r="28" customFormat="false" ht="108.75" hidden="false" customHeight="true" outlineLevel="0" collapsed="false">
      <c r="A28" s="2" t="s">
        <v>119</v>
      </c>
      <c r="B28" s="3" t="s">
        <v>113</v>
      </c>
      <c r="C28" s="3" t="s">
        <v>120</v>
      </c>
      <c r="D28" s="3" t="s">
        <v>38</v>
      </c>
      <c r="E28" s="3" t="s">
        <v>33</v>
      </c>
      <c r="F28" s="3" t="s">
        <v>33</v>
      </c>
      <c r="G28" s="3" t="s">
        <v>33</v>
      </c>
      <c r="H28" s="3" t="s">
        <v>33</v>
      </c>
      <c r="I28" s="3" t="s">
        <v>33</v>
      </c>
      <c r="J28" s="3" t="s">
        <v>33</v>
      </c>
      <c r="K28" s="3" t="s">
        <v>33</v>
      </c>
      <c r="L28" s="3" t="s">
        <v>33</v>
      </c>
      <c r="M28" s="4" t="n">
        <v>2</v>
      </c>
      <c r="N28" s="4" t="n">
        <v>2</v>
      </c>
      <c r="O28" s="4" t="n">
        <v>2</v>
      </c>
      <c r="P28" s="4" t="n">
        <v>1</v>
      </c>
      <c r="Q28" s="4" t="n">
        <v>2</v>
      </c>
      <c r="R28" s="4" t="n">
        <v>2</v>
      </c>
      <c r="S28" s="4" t="n">
        <v>1</v>
      </c>
      <c r="T28" s="4" t="n">
        <v>2</v>
      </c>
      <c r="U28" s="4" t="n">
        <v>2</v>
      </c>
      <c r="V28" s="3" t="n">
        <f aca="false">SUM(M28:S28,IF(ISNUMBER(T28),T28,0),U28)</f>
        <v>16</v>
      </c>
      <c r="W28" s="3" t="n">
        <f aca="false">COUNT(M28:U28)*2</f>
        <v>18</v>
      </c>
      <c r="X28" s="5" t="n">
        <f aca="false">IF(W28=0,"",V28/W28)</f>
        <v>0.888888888888889</v>
      </c>
      <c r="Y28" s="4" t="str">
        <f aca="false">IF(COUNTIF(E28:L28,"REJECT")&gt;0,"REJECT",IF(COUNTIF(E28:L28,"REVISE")&gt;0,"REVISE",IF(W28=0,"",IF(OR(AND(ISNUMBER(M28),M28=0),AND(ISNUMBER(N28),N28=0),AND(ISNUMBER(O28),O28=0),AND(ISNUMBER(P28),P28=0)),"REVISE",IF(X28&gt;=16/18,"ACCEPT",IF(X28&gt;=14/18,"REVISE","REJECT"))))))</f>
        <v>ACCEPT</v>
      </c>
      <c r="Z28" s="3" t="s">
        <v>33</v>
      </c>
      <c r="AA28" s="3" t="s">
        <v>121</v>
      </c>
      <c r="AB28" s="3" t="s">
        <v>35</v>
      </c>
      <c r="AC28" s="3"/>
    </row>
    <row r="29" customFormat="false" ht="95.25" hidden="false" customHeight="true" outlineLevel="0" collapsed="false">
      <c r="A29" s="2" t="s">
        <v>122</v>
      </c>
      <c r="B29" s="3" t="s">
        <v>113</v>
      </c>
      <c r="C29" s="3" t="s">
        <v>123</v>
      </c>
      <c r="D29" s="3" t="s">
        <v>38</v>
      </c>
      <c r="E29" s="3" t="s">
        <v>33</v>
      </c>
      <c r="F29" s="3" t="s">
        <v>33</v>
      </c>
      <c r="G29" s="3" t="s">
        <v>33</v>
      </c>
      <c r="H29" s="3" t="s">
        <v>33</v>
      </c>
      <c r="I29" s="3" t="s">
        <v>33</v>
      </c>
      <c r="J29" s="3" t="s">
        <v>33</v>
      </c>
      <c r="K29" s="3" t="s">
        <v>33</v>
      </c>
      <c r="L29" s="3" t="s">
        <v>33</v>
      </c>
      <c r="M29" s="4" t="n">
        <v>2</v>
      </c>
      <c r="N29" s="4" t="n">
        <v>2</v>
      </c>
      <c r="O29" s="4" t="n">
        <v>2</v>
      </c>
      <c r="P29" s="4" t="n">
        <v>2</v>
      </c>
      <c r="Q29" s="4" t="n">
        <v>2</v>
      </c>
      <c r="R29" s="4" t="n">
        <v>2</v>
      </c>
      <c r="S29" s="4" t="n">
        <v>1</v>
      </c>
      <c r="T29" s="4" t="n">
        <v>2</v>
      </c>
      <c r="U29" s="4" t="n">
        <v>2</v>
      </c>
      <c r="V29" s="3" t="n">
        <f aca="false">SUM(M29:S29,IF(ISNUMBER(T29),T29,0),U29)</f>
        <v>17</v>
      </c>
      <c r="W29" s="3" t="n">
        <f aca="false">COUNT(M29:U29)*2</f>
        <v>18</v>
      </c>
      <c r="X29" s="5" t="n">
        <f aca="false">IF(W29=0,"",V29/W29)</f>
        <v>0.944444444444444</v>
      </c>
      <c r="Y29" s="4" t="str">
        <f aca="false">IF(COUNTIF(E29:L29,"REJECT")&gt;0,"REJECT",IF(COUNTIF(E29:L29,"REVISE")&gt;0,"REVISE",IF(W29=0,"",IF(OR(AND(ISNUMBER(M29),M29=0),AND(ISNUMBER(N29),N29=0),AND(ISNUMBER(O29),O29=0),AND(ISNUMBER(P29),P29=0)),"REVISE",IF(X29&gt;=16/18,"ACCEPT",IF(X29&gt;=14/18,"REVISE","REJECT"))))))</f>
        <v>ACCEPT</v>
      </c>
      <c r="Z29" s="3" t="s">
        <v>33</v>
      </c>
      <c r="AA29" s="3" t="s">
        <v>124</v>
      </c>
      <c r="AB29" s="3" t="s">
        <v>35</v>
      </c>
      <c r="AC29" s="3"/>
    </row>
    <row r="30" customFormat="false" ht="95.25" hidden="false" customHeight="true" outlineLevel="0" collapsed="false">
      <c r="A30" s="2" t="s">
        <v>125</v>
      </c>
      <c r="B30" s="3" t="s">
        <v>113</v>
      </c>
      <c r="C30" s="3" t="s">
        <v>126</v>
      </c>
      <c r="D30" s="3" t="s">
        <v>38</v>
      </c>
      <c r="E30" s="3" t="s">
        <v>33</v>
      </c>
      <c r="F30" s="3" t="s">
        <v>33</v>
      </c>
      <c r="G30" s="3" t="s">
        <v>33</v>
      </c>
      <c r="H30" s="3" t="s">
        <v>33</v>
      </c>
      <c r="I30" s="3" t="s">
        <v>33</v>
      </c>
      <c r="J30" s="3" t="s">
        <v>33</v>
      </c>
      <c r="K30" s="3" t="s">
        <v>33</v>
      </c>
      <c r="L30" s="3" t="s">
        <v>33</v>
      </c>
      <c r="M30" s="4" t="n">
        <v>2</v>
      </c>
      <c r="N30" s="4" t="n">
        <v>2</v>
      </c>
      <c r="O30" s="4" t="n">
        <v>2</v>
      </c>
      <c r="P30" s="4" t="n">
        <v>2</v>
      </c>
      <c r="Q30" s="4" t="n">
        <v>2</v>
      </c>
      <c r="R30" s="4" t="n">
        <v>2</v>
      </c>
      <c r="S30" s="4" t="n">
        <v>1</v>
      </c>
      <c r="T30" s="4" t="n">
        <v>2</v>
      </c>
      <c r="U30" s="4" t="n">
        <v>2</v>
      </c>
      <c r="V30" s="3" t="n">
        <f aca="false">SUM(M30:S30,IF(ISNUMBER(T30),T30,0),U30)</f>
        <v>17</v>
      </c>
      <c r="W30" s="3" t="n">
        <f aca="false">COUNT(M30:U30)*2</f>
        <v>18</v>
      </c>
      <c r="X30" s="5" t="n">
        <f aca="false">IF(W30=0,"",V30/W30)</f>
        <v>0.944444444444444</v>
      </c>
      <c r="Y30" s="4" t="str">
        <f aca="false">IF(COUNTIF(E30:L30,"REJECT")&gt;0,"REJECT",IF(COUNTIF(E30:L30,"REVISE")&gt;0,"REVISE",IF(W30=0,"",IF(OR(AND(ISNUMBER(M30),M30=0),AND(ISNUMBER(N30),N30=0),AND(ISNUMBER(O30),O30=0),AND(ISNUMBER(P30),P30=0)),"REVISE",IF(X30&gt;=16/18,"ACCEPT",IF(X30&gt;=14/18,"REVISE","REJECT"))))))</f>
        <v>ACCEPT</v>
      </c>
      <c r="Z30" s="3" t="s">
        <v>33</v>
      </c>
      <c r="AA30" s="3" t="s">
        <v>127</v>
      </c>
      <c r="AB30" s="3" t="s">
        <v>35</v>
      </c>
      <c r="AC30" s="3"/>
    </row>
    <row r="31" customFormat="false" ht="122.25" hidden="false" customHeight="true" outlineLevel="0" collapsed="false">
      <c r="A31" s="2" t="s">
        <v>128</v>
      </c>
      <c r="B31" s="3" t="s">
        <v>113</v>
      </c>
      <c r="C31" s="3" t="s">
        <v>129</v>
      </c>
      <c r="D31" s="3" t="s">
        <v>38</v>
      </c>
      <c r="E31" s="3" t="s">
        <v>33</v>
      </c>
      <c r="F31" s="3" t="s">
        <v>33</v>
      </c>
      <c r="G31" s="3" t="s">
        <v>33</v>
      </c>
      <c r="H31" s="3" t="s">
        <v>33</v>
      </c>
      <c r="I31" s="3" t="s">
        <v>33</v>
      </c>
      <c r="J31" s="3" t="s">
        <v>33</v>
      </c>
      <c r="K31" s="3" t="s">
        <v>33</v>
      </c>
      <c r="L31" s="3" t="s">
        <v>33</v>
      </c>
      <c r="M31" s="4" t="n">
        <v>2</v>
      </c>
      <c r="N31" s="4" t="n">
        <v>2</v>
      </c>
      <c r="O31" s="4" t="n">
        <v>2</v>
      </c>
      <c r="P31" s="4" t="n">
        <v>2</v>
      </c>
      <c r="Q31" s="4" t="n">
        <v>2</v>
      </c>
      <c r="R31" s="4" t="n">
        <v>2</v>
      </c>
      <c r="S31" s="4" t="n">
        <v>1</v>
      </c>
      <c r="T31" s="4" t="n">
        <v>2</v>
      </c>
      <c r="U31" s="4" t="n">
        <v>2</v>
      </c>
      <c r="V31" s="3" t="n">
        <f aca="false">SUM(M31:S31,IF(ISNUMBER(T31),T31,0),U31)</f>
        <v>17</v>
      </c>
      <c r="W31" s="3" t="n">
        <f aca="false">COUNT(M31:U31)*2</f>
        <v>18</v>
      </c>
      <c r="X31" s="5" t="n">
        <f aca="false">IF(W31=0,"",V31/W31)</f>
        <v>0.944444444444444</v>
      </c>
      <c r="Y31" s="4" t="str">
        <f aca="false">IF(COUNTIF(E31:L31,"REJECT")&gt;0,"REJECT",IF(COUNTIF(E31:L31,"REVISE")&gt;0,"REVISE",IF(W31=0,"",IF(OR(AND(ISNUMBER(M31),M31=0),AND(ISNUMBER(N31),N31=0),AND(ISNUMBER(O31),O31=0),AND(ISNUMBER(P31),P31=0)),"REVISE",IF(X31&gt;=16/18,"ACCEPT",IF(X31&gt;=14/18,"REVISE","REJECT"))))))</f>
        <v>ACCEPT</v>
      </c>
      <c r="Z31" s="3" t="s">
        <v>33</v>
      </c>
      <c r="AA31" s="3" t="s">
        <v>130</v>
      </c>
      <c r="AB31" s="3" t="s">
        <v>35</v>
      </c>
      <c r="AC31" s="3"/>
    </row>
  </sheetData>
  <autoFilter ref="A1:AC31"/>
  <conditionalFormatting sqref="E2:L31">
    <cfRule type="expression" priority="2" aboveAverage="0" equalAverage="0" bottom="0" percent="0" rank="0" text="" dxfId="6">
      <formula>E2="ACCEPT"</formula>
    </cfRule>
    <cfRule type="expression" priority="3" aboveAverage="0" equalAverage="0" bottom="0" percent="0" rank="0" text="" dxfId="7">
      <formula>E2="REVISE"</formula>
    </cfRule>
    <cfRule type="expression" priority="4" aboveAverage="0" equalAverage="0" bottom="0" percent="0" rank="0" text="" dxfId="8">
      <formula>E2="REJECT"</formula>
    </cfRule>
  </conditionalFormatting>
  <conditionalFormatting sqref="Y2:Z31">
    <cfRule type="expression" priority="5" aboveAverage="0" equalAverage="0" bottom="0" percent="0" rank="0" text="" dxfId="6">
      <formula>E2="ACCEPT"</formula>
    </cfRule>
    <cfRule type="expression" priority="6" aboveAverage="0" equalAverage="0" bottom="0" percent="0" rank="0" text="" dxfId="7">
      <formula>E2="REVISE"</formula>
    </cfRule>
    <cfRule type="expression" priority="7" aboveAverage="0" equalAverage="0" bottom="0" percent="0" rank="0" text="" dxfId="8">
      <formula>E2="REJECT"</formula>
    </cfRule>
  </conditionalFormatting>
  <dataValidations count="3">
    <dataValidation allowBlank="true" errorStyle="stop" operator="between" showDropDown="false" showErrorMessage="false" showInputMessage="false" sqref="E2:L31 Z2:Z31" type="list">
      <formula1>"ACCEPT,REVISE,REJECT"</formula1>
      <formula2>0</formula2>
    </dataValidation>
    <dataValidation allowBlank="true" errorStyle="stop" operator="between" showDropDown="false" showErrorMessage="false" showInputMessage="false" sqref="M2:S31 U2:U31" type="list">
      <formula1>"0,1,2"</formula1>
      <formula2>0</formula2>
    </dataValidation>
    <dataValidation allowBlank="true" errorStyle="stop" operator="between" showDropDown="false" showErrorMessage="false" showInputMessage="false" sqref="T2:T31" type="list">
      <formula1>"0,1,2,NA"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0"/>
  </cols>
  <sheetData>
    <row r="1" customFormat="false" ht="15" hidden="false" customHeight="true" outlineLevel="0" collapsed="false">
      <c r="A1" s="6" t="s">
        <v>131</v>
      </c>
      <c r="B1" s="6" t="s">
        <v>132</v>
      </c>
    </row>
    <row r="2" customFormat="false" ht="15" hidden="false" customHeight="true" outlineLevel="0" collapsed="false">
      <c r="A2" s="3" t="s">
        <v>133</v>
      </c>
      <c r="B2" s="3" t="s">
        <v>134</v>
      </c>
    </row>
    <row r="3" customFormat="false" ht="15" hidden="false" customHeight="true" outlineLevel="0" collapsed="false">
      <c r="A3" s="3" t="s">
        <v>135</v>
      </c>
      <c r="B3" s="3" t="s">
        <v>136</v>
      </c>
    </row>
    <row r="4" customFormat="false" ht="15" hidden="false" customHeight="true" outlineLevel="0" collapsed="false">
      <c r="A4" s="3" t="s">
        <v>21</v>
      </c>
      <c r="B4" s="3" t="s">
        <v>137</v>
      </c>
    </row>
    <row r="5" customFormat="false" ht="15" hidden="false" customHeight="true" outlineLevel="0" collapsed="false">
      <c r="A5" s="3" t="s">
        <v>22</v>
      </c>
      <c r="B5" s="3" t="s">
        <v>138</v>
      </c>
    </row>
    <row r="6" customFormat="false" ht="15" hidden="false" customHeight="true" outlineLevel="0" collapsed="false">
      <c r="A6" s="3" t="s">
        <v>23</v>
      </c>
      <c r="B6" s="3" t="s">
        <v>139</v>
      </c>
    </row>
    <row r="7" customFormat="false" ht="15" hidden="false" customHeight="true" outlineLevel="0" collapsed="false">
      <c r="A7" s="3" t="s">
        <v>24</v>
      </c>
      <c r="B7" s="3" t="s">
        <v>140</v>
      </c>
    </row>
    <row r="8" customFormat="false" ht="15" hidden="false" customHeight="true" outlineLevel="0" collapsed="false">
      <c r="A8" s="3" t="s">
        <v>25</v>
      </c>
      <c r="B8" s="3" t="s">
        <v>141</v>
      </c>
    </row>
    <row r="9" customFormat="false" ht="15" hidden="false" customHeight="true" outlineLevel="0" collapsed="false">
      <c r="A9" s="3" t="s">
        <v>26</v>
      </c>
      <c r="B9" s="3" t="s">
        <v>142</v>
      </c>
    </row>
    <row r="10" customFormat="false" ht="15" hidden="false" customHeight="true" outlineLevel="0" collapsed="false">
      <c r="A10" s="3" t="s">
        <v>143</v>
      </c>
      <c r="B10" s="3" t="s">
        <v>144</v>
      </c>
    </row>
    <row r="11" customFormat="false" ht="15" hidden="false" customHeight="true" outlineLevel="0" collapsed="false">
      <c r="A11" s="3" t="s">
        <v>145</v>
      </c>
      <c r="B11" s="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</cols>
  <sheetData>
    <row r="1" customFormat="false" ht="15" hidden="false" customHeight="true" outlineLevel="0" collapsed="false">
      <c r="A1" s="7" t="s">
        <v>147</v>
      </c>
      <c r="B1" s="7" t="s">
        <v>148</v>
      </c>
    </row>
    <row r="2" customFormat="false" ht="15" hidden="false" customHeight="true" outlineLevel="0" collapsed="false">
      <c r="A2" s="0" t="s">
        <v>149</v>
      </c>
      <c r="B2" s="0" t="n">
        <f aca="false">COUNTA('Evaluación piloto'!A2:A31)</f>
        <v>30</v>
      </c>
    </row>
    <row r="3" customFormat="false" ht="15" hidden="false" customHeight="true" outlineLevel="0" collapsed="false">
      <c r="A3" s="0" t="s">
        <v>150</v>
      </c>
      <c r="B3" s="0" t="n">
        <f aca="false">COUNTIF('Evaluación piloto'!Z2:Z31,"&lt;&gt;")</f>
        <v>30</v>
      </c>
    </row>
    <row r="4" customFormat="false" ht="15" hidden="false" customHeight="true" outlineLevel="0" collapsed="false">
      <c r="A4" s="0" t="s">
        <v>151</v>
      </c>
      <c r="B4" s="0" t="n">
        <f aca="false">COUNTIF('Evaluación piloto'!Z2:Z31,"ACCEPT")</f>
        <v>22</v>
      </c>
    </row>
    <row r="5" customFormat="false" ht="15" hidden="false" customHeight="true" outlineLevel="0" collapsed="false">
      <c r="A5" s="0" t="s">
        <v>152</v>
      </c>
      <c r="B5" s="0" t="n">
        <f aca="false">COUNTIF('Evaluación piloto'!Z2:Z31,"REVISE")</f>
        <v>8</v>
      </c>
    </row>
    <row r="6" customFormat="false" ht="15" hidden="false" customHeight="true" outlineLevel="0" collapsed="false">
      <c r="A6" s="0" t="s">
        <v>153</v>
      </c>
      <c r="B6" s="0" t="n">
        <f aca="false">COUNTIF('Evaluación piloto'!Z2:Z31,"REJECT")</f>
        <v>0</v>
      </c>
    </row>
    <row r="7" customFormat="false" ht="15" hidden="false" customHeight="true" outlineLevel="0" collapsed="false">
      <c r="A7" s="0" t="s">
        <v>154</v>
      </c>
      <c r="B7" s="0" t="n">
        <f aca="false">IFERROR(AVERAGE('Evaluación piloto'!V2:V31),"")</f>
        <v>15.6666666666667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2026-09-04T13:32:11Z</dcterms:created>
  <dc:creator>openpyxl</dc:creator>
  <dc:description/>
  <dc:language>en-US</dc:language>
  <cp:lastModifiedBy>Pedro Gómez Reina</cp:lastModifiedBy>
  <dcterms:modified xsi:type="dcterms:W3CDTF">2026-09-05T17:25:54Z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